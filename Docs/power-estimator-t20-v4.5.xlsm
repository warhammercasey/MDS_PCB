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mmurr\Documents\School\fpga_pcb\MDS_PCB\Docs\"/>
    </mc:Choice>
  </mc:AlternateContent>
  <xr:revisionPtr revIDLastSave="0" documentId="13_ncr:1_{7E7012E1-CABF-4090-8E26-4B3664F712E3}" xr6:coauthVersionLast="47" xr6:coauthVersionMax="47" xr10:uidLastSave="{00000000-0000-0000-0000-000000000000}"/>
  <bookViews>
    <workbookView xWindow="0" yWindow="360" windowWidth="38620" windowHeight="21100" tabRatio="658" xr2:uid="{00000000-000D-0000-FFFF-FFFF00000000}"/>
  </bookViews>
  <sheets>
    <sheet name="Total" sheetId="13" r:id="rId1"/>
    <sheet name="Error Combinations" sheetId="14" state="hidden" r:id="rId2"/>
    <sheet name="calTotal" sheetId="1" state="veryHidden" r:id="rId3"/>
    <sheet name="Tj &amp; leakage iterations" sheetId="11" state="veryHidden" r:id="rId4"/>
    <sheet name="Logic" sheetId="2" r:id="rId5"/>
    <sheet name="Memory" sheetId="4" r:id="rId6"/>
    <sheet name="Multiplier" sheetId="5" r:id="rId7"/>
    <sheet name="Clock" sheetId="7" r:id="rId8"/>
    <sheet name="IO" sheetId="3" r:id="rId9"/>
    <sheet name="PLL" sheetId="6" r:id="rId10"/>
    <sheet name="MIPI" sheetId="9" r:id="rId11"/>
    <sheet name="DDR" sheetId="10" r:id="rId12"/>
    <sheet name="Flash" sheetId="16" state="hidden" r:id="rId13"/>
    <sheet name="Revision History" sheetId="15" r:id="rId14"/>
  </sheets>
  <functionGroups builtInGroupCount="19"/>
  <definedNames>
    <definedName name="cooling">calTotal!$E$18</definedName>
    <definedName name="device">calTotal!$E$6</definedName>
    <definedName name="F169_">calTotal!$E$46:$E$51</definedName>
    <definedName name="hide">calTotal!$C$36</definedName>
    <definedName name="new">calTotal!$36:$38</definedName>
    <definedName name="NoLVDS">IO!$I$26:$I$29</definedName>
    <definedName name="Package">calTotal!$E$7</definedName>
    <definedName name="SG_AutomotiveEn">calTotal!$F$45:$F$48</definedName>
    <definedName name="SG_IndustrialOnly">calTotal!$F$46</definedName>
    <definedName name="SG_STD">calTotal!$F$46:$F$48</definedName>
    <definedName name="withLVDS">IO!$H$26:$H$31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5" i="7" l="1"/>
  <c r="C5" i="4"/>
  <c r="C5" i="2"/>
  <c r="C5" i="16"/>
  <c r="D110" i="1" s="1"/>
  <c r="B5" i="16"/>
  <c r="D110" i="13" l="1"/>
  <c r="D5" i="16"/>
  <c r="C2" i="16" s="1"/>
  <c r="D6" i="7" l="1"/>
  <c r="D7" i="7"/>
  <c r="D8" i="7"/>
  <c r="D9" i="7"/>
  <c r="D10" i="7"/>
  <c r="D11" i="7"/>
  <c r="D12" i="7"/>
  <c r="D13" i="7"/>
  <c r="D14" i="7"/>
  <c r="D15" i="7"/>
  <c r="D16" i="7"/>
  <c r="D17" i="7"/>
  <c r="D18" i="7"/>
  <c r="D19" i="7"/>
  <c r="D20" i="7"/>
  <c r="D21" i="7"/>
  <c r="D22" i="7"/>
  <c r="D23" i="7"/>
  <c r="E89" i="1" l="1"/>
  <c r="AC13" i="13" l="1"/>
  <c r="AH10" i="9"/>
  <c r="AE10" i="9"/>
  <c r="AE18" i="9"/>
  <c r="AE19" i="9"/>
  <c r="AE20" i="9"/>
  <c r="AE21" i="9"/>
  <c r="AE23" i="9"/>
  <c r="AE24" i="9"/>
  <c r="AE25" i="9"/>
  <c r="AA10" i="9"/>
  <c r="AA11" i="9"/>
  <c r="AA12" i="9"/>
  <c r="AA13" i="9"/>
  <c r="AA14" i="9"/>
  <c r="AA15" i="9"/>
  <c r="AA16" i="9"/>
  <c r="AA17" i="9"/>
  <c r="AA18" i="9"/>
  <c r="AA19" i="9"/>
  <c r="AA20" i="9"/>
  <c r="AA21" i="9"/>
  <c r="AA22" i="9"/>
  <c r="AA23" i="9"/>
  <c r="AA24" i="9"/>
  <c r="AA25" i="9"/>
  <c r="AA26" i="9"/>
  <c r="X10" i="9"/>
  <c r="X11" i="9"/>
  <c r="X12" i="9"/>
  <c r="X13" i="9"/>
  <c r="X14" i="9"/>
  <c r="X15" i="9"/>
  <c r="X16" i="9"/>
  <c r="X17" i="9"/>
  <c r="X18" i="9"/>
  <c r="X19" i="9"/>
  <c r="X20" i="9"/>
  <c r="X21" i="9"/>
  <c r="X22" i="9"/>
  <c r="X23" i="9"/>
  <c r="X24" i="9"/>
  <c r="X25" i="9"/>
  <c r="X26" i="9"/>
  <c r="T10" i="9"/>
  <c r="T11" i="9"/>
  <c r="T12" i="9"/>
  <c r="T13" i="9"/>
  <c r="T14" i="9"/>
  <c r="T15" i="9"/>
  <c r="T16" i="9"/>
  <c r="T17" i="9"/>
  <c r="T18" i="9"/>
  <c r="T19" i="9"/>
  <c r="T20" i="9"/>
  <c r="T21" i="9"/>
  <c r="T22" i="9"/>
  <c r="T23" i="9"/>
  <c r="T24" i="9"/>
  <c r="T25" i="9"/>
  <c r="T26" i="9"/>
  <c r="P10" i="9"/>
  <c r="P11" i="9"/>
  <c r="P12" i="9"/>
  <c r="P13" i="9"/>
  <c r="P14" i="9"/>
  <c r="P15" i="9"/>
  <c r="P16" i="9"/>
  <c r="P17" i="9"/>
  <c r="P18" i="9"/>
  <c r="P19" i="9"/>
  <c r="P20" i="9"/>
  <c r="P21" i="9"/>
  <c r="P22" i="9"/>
  <c r="P23" i="9"/>
  <c r="P24" i="9"/>
  <c r="P25" i="9"/>
  <c r="P26" i="9"/>
  <c r="M10" i="9"/>
  <c r="M11" i="9"/>
  <c r="M12" i="9"/>
  <c r="M13" i="9"/>
  <c r="M14" i="9"/>
  <c r="M15" i="9"/>
  <c r="M16" i="9"/>
  <c r="M17" i="9"/>
  <c r="M18" i="9"/>
  <c r="M19" i="9"/>
  <c r="M20" i="9"/>
  <c r="M21" i="9"/>
  <c r="M22" i="9"/>
  <c r="M23" i="9"/>
  <c r="M24" i="9"/>
  <c r="M25" i="9"/>
  <c r="M26" i="9"/>
  <c r="J10" i="9"/>
  <c r="J11" i="9"/>
  <c r="J12" i="9"/>
  <c r="J13" i="9"/>
  <c r="J14" i="9"/>
  <c r="J15" i="9"/>
  <c r="J16" i="9"/>
  <c r="J17" i="9"/>
  <c r="J18" i="9"/>
  <c r="J19" i="9"/>
  <c r="J20" i="9"/>
  <c r="J21" i="9"/>
  <c r="J22" i="9"/>
  <c r="J23" i="9"/>
  <c r="J24" i="9"/>
  <c r="J25" i="9"/>
  <c r="J26" i="9"/>
  <c r="J9" i="9"/>
  <c r="AF10" i="3"/>
  <c r="AF11" i="3"/>
  <c r="X15" i="3"/>
  <c r="Y15" i="3"/>
  <c r="Z15" i="3"/>
  <c r="X16" i="3"/>
  <c r="Y16" i="3"/>
  <c r="Z16" i="3"/>
  <c r="X17" i="3"/>
  <c r="Y17" i="3"/>
  <c r="Z17" i="3"/>
  <c r="X18" i="3"/>
  <c r="Y18" i="3"/>
  <c r="Z18" i="3"/>
  <c r="T15" i="3"/>
  <c r="T16" i="3"/>
  <c r="T17" i="3"/>
  <c r="T18" i="3"/>
  <c r="P15" i="3"/>
  <c r="P16" i="3"/>
  <c r="P17" i="3"/>
  <c r="P18" i="3"/>
  <c r="Z10" i="3"/>
  <c r="Z12" i="3"/>
  <c r="Z13" i="3"/>
  <c r="Z14" i="3"/>
  <c r="Y11" i="3"/>
  <c r="Y12" i="3"/>
  <c r="Y13" i="3"/>
  <c r="Y14" i="3"/>
  <c r="X10" i="3"/>
  <c r="X11" i="3"/>
  <c r="X12" i="3"/>
  <c r="X13" i="3"/>
  <c r="X14" i="3"/>
  <c r="T10" i="3"/>
  <c r="T11" i="3"/>
  <c r="T12" i="3"/>
  <c r="T13" i="3"/>
  <c r="T14" i="3"/>
  <c r="R10" i="3"/>
  <c r="R11" i="3"/>
  <c r="Q10" i="3"/>
  <c r="Q11" i="3"/>
  <c r="P12" i="3"/>
  <c r="P13" i="3"/>
  <c r="P14" i="3"/>
  <c r="Y9" i="3"/>
  <c r="S10" i="3" l="1"/>
  <c r="S11" i="3"/>
  <c r="E20" i="1"/>
  <c r="E16" i="1" l="1"/>
  <c r="E93" i="1" l="1"/>
  <c r="E91" i="1"/>
  <c r="E8" i="1" l="1"/>
  <c r="M89" i="1" l="1"/>
  <c r="M24" i="1"/>
  <c r="E92" i="1"/>
  <c r="E90" i="1"/>
  <c r="G55" i="1" s="1"/>
  <c r="E17" i="1"/>
  <c r="E18" i="1"/>
  <c r="E19" i="1"/>
  <c r="E11" i="1"/>
  <c r="E10" i="1"/>
  <c r="E9" i="1"/>
  <c r="E7" i="1"/>
  <c r="M90" i="1" l="1"/>
  <c r="E85" i="1"/>
  <c r="M26" i="1"/>
  <c r="E12" i="1"/>
  <c r="M97" i="1"/>
  <c r="M32" i="1"/>
  <c r="E21" i="1"/>
  <c r="G56" i="1"/>
  <c r="G54" i="1"/>
  <c r="G53" i="1"/>
  <c r="G52" i="1"/>
  <c r="F49" i="1"/>
  <c r="E94" i="1" l="1" a="1"/>
  <c r="E94" i="1" s="1"/>
  <c r="AC10" i="3"/>
  <c r="AD10" i="3"/>
  <c r="AE10" i="3"/>
  <c r="AC11" i="3"/>
  <c r="AD11" i="3"/>
  <c r="AE11" i="3"/>
  <c r="U10" i="3" l="1"/>
  <c r="V10" i="3" s="1"/>
  <c r="U11" i="3"/>
  <c r="V11" i="3" s="1"/>
  <c r="H33" i="3"/>
  <c r="G7" i="10" l="1"/>
  <c r="W7" i="10"/>
  <c r="V7" i="10"/>
  <c r="U7" i="10"/>
  <c r="T7" i="10"/>
  <c r="E94" i="13" l="1"/>
  <c r="B2" i="10"/>
  <c r="Z7" i="10" s="1"/>
  <c r="B4" i="9"/>
  <c r="B3" i="9"/>
  <c r="B2" i="9"/>
  <c r="B3" i="6"/>
  <c r="B2" i="6"/>
  <c r="B2" i="3"/>
  <c r="B2" i="7"/>
  <c r="D5" i="7" s="1"/>
  <c r="B2" i="5"/>
  <c r="B2" i="4"/>
  <c r="B2" i="2"/>
  <c r="T9" i="3" l="1"/>
  <c r="R9" i="3"/>
  <c r="AF9" i="3"/>
  <c r="AD9" i="3"/>
  <c r="Y7" i="10"/>
  <c r="R13" i="3"/>
  <c r="AF12" i="3"/>
  <c r="AF13" i="3"/>
  <c r="AF14" i="3"/>
  <c r="AD14" i="3"/>
  <c r="R14" i="3"/>
  <c r="R12" i="3"/>
  <c r="AD13" i="3"/>
  <c r="AD12" i="3"/>
  <c r="AF16" i="3"/>
  <c r="AD18" i="3"/>
  <c r="R17" i="3"/>
  <c r="AF17" i="3"/>
  <c r="R18" i="3"/>
  <c r="AD17" i="3"/>
  <c r="AF18" i="3"/>
  <c r="R16" i="3"/>
  <c r="R15" i="3"/>
  <c r="AD15" i="3"/>
  <c r="AD16" i="3"/>
  <c r="AF15" i="3"/>
  <c r="E7" i="4"/>
  <c r="E19" i="4"/>
  <c r="E8" i="4"/>
  <c r="E20" i="4"/>
  <c r="E9" i="4"/>
  <c r="E21" i="4"/>
  <c r="E10" i="4"/>
  <c r="E22" i="4"/>
  <c r="E18" i="4"/>
  <c r="E11" i="4"/>
  <c r="E23" i="4"/>
  <c r="E12" i="4"/>
  <c r="E5" i="4"/>
  <c r="E6" i="4"/>
  <c r="E13" i="4"/>
  <c r="E14" i="4"/>
  <c r="E15" i="4"/>
  <c r="E16" i="4"/>
  <c r="E17" i="4"/>
  <c r="O12" i="9"/>
  <c r="O13" i="9"/>
  <c r="L12" i="9"/>
  <c r="L13" i="9"/>
  <c r="L10" i="9"/>
  <c r="O10" i="9"/>
  <c r="O11" i="9"/>
  <c r="L11" i="9"/>
  <c r="W13" i="9"/>
  <c r="W10" i="9"/>
  <c r="W11" i="9"/>
  <c r="W12" i="9"/>
  <c r="E8" i="5"/>
  <c r="E20" i="5"/>
  <c r="E16" i="5"/>
  <c r="E7" i="5"/>
  <c r="E9" i="5"/>
  <c r="E21" i="5"/>
  <c r="E6" i="5"/>
  <c r="E10" i="5"/>
  <c r="E22" i="5"/>
  <c r="E11" i="5"/>
  <c r="E23" i="5"/>
  <c r="E12" i="5"/>
  <c r="E5" i="5"/>
  <c r="E18" i="5"/>
  <c r="E13" i="5"/>
  <c r="E14" i="5"/>
  <c r="E15" i="5"/>
  <c r="E17" i="5"/>
  <c r="E19" i="5"/>
  <c r="F14" i="2"/>
  <c r="F15" i="2"/>
  <c r="F16" i="2"/>
  <c r="F13" i="2"/>
  <c r="F17" i="2"/>
  <c r="F5" i="2"/>
  <c r="F6" i="2"/>
  <c r="F18" i="2"/>
  <c r="F7" i="2"/>
  <c r="F19" i="2"/>
  <c r="F8" i="2"/>
  <c r="F20" i="2"/>
  <c r="F9" i="2"/>
  <c r="F21" i="2"/>
  <c r="F10" i="2"/>
  <c r="F22" i="2"/>
  <c r="F11" i="2"/>
  <c r="F23" i="2"/>
  <c r="F12" i="2"/>
  <c r="R7" i="10"/>
  <c r="P7" i="10"/>
  <c r="K112" i="1" l="1"/>
  <c r="M81" i="1" s="1"/>
  <c r="E85" i="13"/>
  <c r="E21" i="13" l="1"/>
  <c r="I7" i="10" l="1"/>
  <c r="AD7" i="10" l="1"/>
  <c r="B3" i="10"/>
  <c r="M7" i="10"/>
  <c r="O7" i="10"/>
  <c r="AE7" i="10"/>
  <c r="AA7" i="10"/>
  <c r="N7" i="10"/>
  <c r="Q7" i="10"/>
  <c r="AF7" i="10" l="1"/>
  <c r="AG7" i="10" s="1"/>
  <c r="AI7" i="10"/>
  <c r="C2" i="10" s="1"/>
  <c r="G39" i="1"/>
  <c r="M25" i="1" s="1"/>
  <c r="G36" i="1"/>
  <c r="V19" i="9"/>
  <c r="B5" i="9"/>
  <c r="G38" i="1" s="1"/>
  <c r="G31" i="1"/>
  <c r="AI10" i="9"/>
  <c r="AJ10" i="9" s="1"/>
  <c r="AI11" i="9"/>
  <c r="AJ11" i="9" s="1"/>
  <c r="AI12" i="9"/>
  <c r="AJ12" i="9" s="1"/>
  <c r="AI13" i="9"/>
  <c r="AJ13" i="9" s="1"/>
  <c r="AI14" i="9"/>
  <c r="AJ14" i="9" s="1"/>
  <c r="AI15" i="9"/>
  <c r="AJ15" i="9" s="1"/>
  <c r="AI16" i="9"/>
  <c r="AJ16" i="9" s="1"/>
  <c r="AI17" i="9"/>
  <c r="AJ17" i="9" s="1"/>
  <c r="AI18" i="9"/>
  <c r="AJ18" i="9" s="1"/>
  <c r="AI19" i="9"/>
  <c r="AJ19" i="9" s="1"/>
  <c r="AI20" i="9"/>
  <c r="AJ20" i="9" s="1"/>
  <c r="AI21" i="9"/>
  <c r="AJ21" i="9" s="1"/>
  <c r="AI22" i="9"/>
  <c r="AJ22" i="9" s="1"/>
  <c r="AI23" i="9"/>
  <c r="AJ23" i="9" s="1"/>
  <c r="AI24" i="9"/>
  <c r="AJ24" i="9" s="1"/>
  <c r="AI25" i="9"/>
  <c r="AJ25" i="9" s="1"/>
  <c r="AI26" i="9"/>
  <c r="AJ26" i="9" s="1"/>
  <c r="AK10" i="9"/>
  <c r="AL10" i="9" s="1"/>
  <c r="AK11" i="9"/>
  <c r="AL11" i="9" s="1"/>
  <c r="AK12" i="9"/>
  <c r="AL12" i="9" s="1"/>
  <c r="AK13" i="9"/>
  <c r="AL13" i="9" s="1"/>
  <c r="AK14" i="9"/>
  <c r="AL14" i="9" s="1"/>
  <c r="AK15" i="9"/>
  <c r="AL15" i="9" s="1"/>
  <c r="AK16" i="9"/>
  <c r="AL16" i="9" s="1"/>
  <c r="AK17" i="9"/>
  <c r="AL17" i="9" s="1"/>
  <c r="AK18" i="9"/>
  <c r="AL18" i="9" s="1"/>
  <c r="AK19" i="9"/>
  <c r="AL19" i="9" s="1"/>
  <c r="AK20" i="9"/>
  <c r="AL20" i="9" s="1"/>
  <c r="AK21" i="9"/>
  <c r="AL21" i="9" s="1"/>
  <c r="AK22" i="9"/>
  <c r="AL22" i="9" s="1"/>
  <c r="AK23" i="9"/>
  <c r="AL23" i="9" s="1"/>
  <c r="AK24" i="9"/>
  <c r="AL24" i="9" s="1"/>
  <c r="AK25" i="9"/>
  <c r="AL25" i="9" s="1"/>
  <c r="AK26" i="9"/>
  <c r="AL26" i="9" s="1"/>
  <c r="B4" i="3"/>
  <c r="B5" i="3"/>
  <c r="D8" i="6"/>
  <c r="D9" i="6"/>
  <c r="D10" i="6"/>
  <c r="D11" i="6"/>
  <c r="D12" i="6"/>
  <c r="D13" i="6"/>
  <c r="D14" i="6"/>
  <c r="D15" i="6"/>
  <c r="D16" i="6"/>
  <c r="D17" i="6"/>
  <c r="D18" i="6"/>
  <c r="D19" i="6"/>
  <c r="D20" i="6"/>
  <c r="D21" i="6"/>
  <c r="D22" i="6"/>
  <c r="D23" i="6"/>
  <c r="D24" i="6"/>
  <c r="D25" i="6"/>
  <c r="B4" i="6"/>
  <c r="G105" i="1"/>
  <c r="G105" i="13" s="1"/>
  <c r="B3" i="3"/>
  <c r="AG26" i="9"/>
  <c r="AH26" i="9" s="1"/>
  <c r="AC26" i="9"/>
  <c r="AE26" i="9" s="1"/>
  <c r="I26" i="9"/>
  <c r="AG25" i="9"/>
  <c r="AH25" i="9" s="1"/>
  <c r="AC25" i="9"/>
  <c r="I25" i="9"/>
  <c r="AG24" i="9"/>
  <c r="AH24" i="9" s="1"/>
  <c r="AC24" i="9"/>
  <c r="R24" i="9"/>
  <c r="I24" i="9"/>
  <c r="AG23" i="9"/>
  <c r="AH23" i="9" s="1"/>
  <c r="AC23" i="9"/>
  <c r="I23" i="9"/>
  <c r="AG22" i="9"/>
  <c r="AH22" i="9" s="1"/>
  <c r="AC22" i="9"/>
  <c r="AE22" i="9" s="1"/>
  <c r="I22" i="9"/>
  <c r="AG21" i="9"/>
  <c r="AH21" i="9" s="1"/>
  <c r="AC21" i="9"/>
  <c r="I21" i="9"/>
  <c r="AG20" i="9"/>
  <c r="AH20" i="9" s="1"/>
  <c r="AC20" i="9"/>
  <c r="I20" i="9"/>
  <c r="AG19" i="9"/>
  <c r="AH19" i="9" s="1"/>
  <c r="AC19" i="9"/>
  <c r="I19" i="9"/>
  <c r="AG18" i="9"/>
  <c r="AH18" i="9" s="1"/>
  <c r="AC18" i="9"/>
  <c r="I18" i="9"/>
  <c r="AG17" i="9"/>
  <c r="AH17" i="9" s="1"/>
  <c r="AC17" i="9"/>
  <c r="AE17" i="9" s="1"/>
  <c r="I17" i="9"/>
  <c r="AG16" i="9"/>
  <c r="AH16" i="9" s="1"/>
  <c r="AC16" i="9"/>
  <c r="AE16" i="9" s="1"/>
  <c r="I16" i="9"/>
  <c r="AG15" i="9"/>
  <c r="AH15" i="9" s="1"/>
  <c r="AC15" i="9"/>
  <c r="AE15" i="9" s="1"/>
  <c r="I15" i="9"/>
  <c r="AG14" i="9"/>
  <c r="AH14" i="9" s="1"/>
  <c r="I14" i="9"/>
  <c r="AG13" i="9"/>
  <c r="AH13" i="9" s="1"/>
  <c r="I13" i="9"/>
  <c r="AG12" i="9"/>
  <c r="AH12" i="9" s="1"/>
  <c r="AC12" i="9"/>
  <c r="AE12" i="9" s="1"/>
  <c r="R12" i="9"/>
  <c r="I12" i="9"/>
  <c r="AG11" i="9"/>
  <c r="AH11" i="9" s="1"/>
  <c r="I11" i="9"/>
  <c r="AG10" i="9"/>
  <c r="N10" i="9"/>
  <c r="I10" i="9"/>
  <c r="AG9" i="9"/>
  <c r="I9" i="9"/>
  <c r="AK9" i="9" s="1"/>
  <c r="AL9" i="9" s="1"/>
  <c r="N26" i="9"/>
  <c r="N11" i="9"/>
  <c r="R21" i="9"/>
  <c r="K20" i="9"/>
  <c r="N24" i="9"/>
  <c r="K16" i="9"/>
  <c r="K24" i="9"/>
  <c r="R18" i="9"/>
  <c r="R11" i="9"/>
  <c r="J25" i="6"/>
  <c r="I25" i="6"/>
  <c r="I10" i="6"/>
  <c r="I11" i="6"/>
  <c r="I12" i="6"/>
  <c r="I13" i="6"/>
  <c r="I14" i="6"/>
  <c r="I15" i="6"/>
  <c r="I16" i="6"/>
  <c r="I17" i="6"/>
  <c r="I18" i="6"/>
  <c r="I19" i="6"/>
  <c r="I20" i="6"/>
  <c r="I21" i="6"/>
  <c r="I22" i="6"/>
  <c r="I23" i="6"/>
  <c r="I24" i="6"/>
  <c r="G25" i="6"/>
  <c r="G10" i="6"/>
  <c r="G11" i="6"/>
  <c r="G12" i="6"/>
  <c r="G13" i="6"/>
  <c r="G14" i="6"/>
  <c r="G15" i="6"/>
  <c r="G16" i="6"/>
  <c r="G17" i="6"/>
  <c r="G18" i="6"/>
  <c r="G19" i="6"/>
  <c r="G20" i="6"/>
  <c r="G21" i="6"/>
  <c r="G22" i="6"/>
  <c r="G23" i="6"/>
  <c r="G24" i="6"/>
  <c r="H25" i="6"/>
  <c r="H10" i="6"/>
  <c r="H11" i="6"/>
  <c r="H12" i="6"/>
  <c r="H13" i="6"/>
  <c r="H14" i="6"/>
  <c r="H15" i="6"/>
  <c r="H16" i="6"/>
  <c r="H17" i="6"/>
  <c r="H18" i="6"/>
  <c r="H19" i="6"/>
  <c r="H20" i="6"/>
  <c r="H21" i="6"/>
  <c r="H22" i="6"/>
  <c r="H23" i="6"/>
  <c r="H24" i="6"/>
  <c r="J10" i="6"/>
  <c r="J11" i="6"/>
  <c r="J12" i="6"/>
  <c r="J13" i="6"/>
  <c r="J14" i="6"/>
  <c r="J15" i="6"/>
  <c r="J16" i="6"/>
  <c r="J17" i="6"/>
  <c r="J18" i="6"/>
  <c r="J19" i="6"/>
  <c r="J20" i="6"/>
  <c r="J21" i="6"/>
  <c r="J22" i="6"/>
  <c r="J23" i="6"/>
  <c r="J24" i="6"/>
  <c r="H7" i="6"/>
  <c r="H8" i="6"/>
  <c r="J8" i="6"/>
  <c r="I7" i="6"/>
  <c r="I9" i="6"/>
  <c r="I8" i="6"/>
  <c r="G9" i="6"/>
  <c r="G8" i="6"/>
  <c r="J9" i="6"/>
  <c r="H9" i="6"/>
  <c r="G7" i="6"/>
  <c r="J7" i="6"/>
  <c r="AJ7" i="10" l="1"/>
  <c r="C3" i="10" s="1"/>
  <c r="J7" i="10" s="1"/>
  <c r="O14" i="9"/>
  <c r="W14" i="9"/>
  <c r="L14" i="9"/>
  <c r="AI9" i="9"/>
  <c r="AJ9" i="9" s="1"/>
  <c r="Z9" i="3"/>
  <c r="Q9" i="3"/>
  <c r="S9" i="3" s="1"/>
  <c r="U9" i="3" s="1"/>
  <c r="AC9" i="3"/>
  <c r="AE9" i="3"/>
  <c r="AH9" i="9"/>
  <c r="L9" i="9"/>
  <c r="W9" i="9"/>
  <c r="O9" i="9"/>
  <c r="D7" i="6"/>
  <c r="C2" i="6" s="1"/>
  <c r="AE14" i="3"/>
  <c r="Q13" i="3"/>
  <c r="S13" i="3" s="1"/>
  <c r="AC14" i="3"/>
  <c r="Q12" i="3"/>
  <c r="S12" i="3" s="1"/>
  <c r="U12" i="3" s="1"/>
  <c r="Q14" i="3"/>
  <c r="S14" i="3" s="1"/>
  <c r="U14" i="3" s="1"/>
  <c r="AE12" i="3"/>
  <c r="AE13" i="3"/>
  <c r="AC13" i="3"/>
  <c r="AC12" i="3"/>
  <c r="P11" i="3"/>
  <c r="N11" i="3" s="1"/>
  <c r="AC15" i="3"/>
  <c r="Q15" i="3"/>
  <c r="S15" i="3" s="1"/>
  <c r="U15" i="3" s="1"/>
  <c r="AC16" i="3"/>
  <c r="Q16" i="3"/>
  <c r="S16" i="3" s="1"/>
  <c r="U16" i="3" s="1"/>
  <c r="AE15" i="3"/>
  <c r="AC17" i="3"/>
  <c r="Q17" i="3"/>
  <c r="S17" i="3" s="1"/>
  <c r="U17" i="3" s="1"/>
  <c r="AE16" i="3"/>
  <c r="AC18" i="3"/>
  <c r="Q18" i="3"/>
  <c r="S18" i="3" s="1"/>
  <c r="U18" i="3" s="1"/>
  <c r="AE17" i="3"/>
  <c r="Z11" i="3"/>
  <c r="AE18" i="3"/>
  <c r="Y10" i="3"/>
  <c r="P10" i="3"/>
  <c r="N10" i="3" s="1"/>
  <c r="G31" i="13"/>
  <c r="P9" i="3"/>
  <c r="X9" i="3"/>
  <c r="W17" i="9"/>
  <c r="L17" i="9"/>
  <c r="O17" i="9"/>
  <c r="W21" i="9"/>
  <c r="L21" i="9"/>
  <c r="O21" i="9"/>
  <c r="O25" i="9"/>
  <c r="L25" i="9"/>
  <c r="W25" i="9"/>
  <c r="W18" i="9"/>
  <c r="L18" i="9"/>
  <c r="O18" i="9"/>
  <c r="W22" i="9"/>
  <c r="O22" i="9"/>
  <c r="L22" i="9"/>
  <c r="L26" i="9"/>
  <c r="W26" i="9"/>
  <c r="O26" i="9"/>
  <c r="W15" i="9"/>
  <c r="L15" i="9"/>
  <c r="O15" i="9"/>
  <c r="W19" i="9"/>
  <c r="L19" i="9"/>
  <c r="O19" i="9"/>
  <c r="W23" i="9"/>
  <c r="L23" i="9"/>
  <c r="O23" i="9"/>
  <c r="W16" i="9"/>
  <c r="L16" i="9"/>
  <c r="O16" i="9"/>
  <c r="W20" i="9"/>
  <c r="L20" i="9"/>
  <c r="O20" i="9"/>
  <c r="O24" i="9"/>
  <c r="L24" i="9"/>
  <c r="W24" i="9"/>
  <c r="G39" i="13"/>
  <c r="E12" i="13"/>
  <c r="N55" i="1"/>
  <c r="G38" i="13"/>
  <c r="L55" i="1"/>
  <c r="G36" i="13"/>
  <c r="L48" i="1"/>
  <c r="G106" i="1"/>
  <c r="G106" i="13" s="1"/>
  <c r="G110" i="1"/>
  <c r="K19" i="9"/>
  <c r="V10" i="9"/>
  <c r="G33" i="1"/>
  <c r="G33" i="13" s="1"/>
  <c r="Q20" i="9"/>
  <c r="G20" i="9" s="1"/>
  <c r="Q16" i="9"/>
  <c r="G16" i="9" s="1"/>
  <c r="G32" i="1"/>
  <c r="G32" i="13" s="1"/>
  <c r="G104" i="1"/>
  <c r="Q22" i="9"/>
  <c r="G22" i="9" s="1"/>
  <c r="Q18" i="9"/>
  <c r="G18" i="9" s="1"/>
  <c r="Q17" i="9"/>
  <c r="G17" i="9" s="1"/>
  <c r="O55" i="1"/>
  <c r="G34" i="1"/>
  <c r="G34" i="13" s="1"/>
  <c r="Y17" i="9"/>
  <c r="Q25" i="9"/>
  <c r="G25" i="9" s="1"/>
  <c r="Q13" i="9"/>
  <c r="G107" i="1"/>
  <c r="G107" i="13" s="1"/>
  <c r="Q24" i="9"/>
  <c r="G24" i="9" s="1"/>
  <c r="AC14" i="9"/>
  <c r="AE14" i="9" s="1"/>
  <c r="AC11" i="9"/>
  <c r="AE11" i="9" s="1"/>
  <c r="G108" i="1"/>
  <c r="G108" i="13" s="1"/>
  <c r="Q19" i="9"/>
  <c r="G19" i="9" s="1"/>
  <c r="Q14" i="9"/>
  <c r="N23" i="9"/>
  <c r="K10" i="9"/>
  <c r="K17" i="9"/>
  <c r="R25" i="9"/>
  <c r="R23" i="9"/>
  <c r="R20" i="9"/>
  <c r="G109" i="1"/>
  <c r="Q26" i="9"/>
  <c r="G26" i="9" s="1"/>
  <c r="Q23" i="9"/>
  <c r="G23" i="9" s="1"/>
  <c r="R19" i="9"/>
  <c r="R26" i="9"/>
  <c r="N14" i="9"/>
  <c r="N13" i="9"/>
  <c r="R16" i="9"/>
  <c r="N19" i="9"/>
  <c r="K23" i="9"/>
  <c r="N9" i="9"/>
  <c r="K14" i="9"/>
  <c r="G111" i="1"/>
  <c r="Q12" i="9"/>
  <c r="G12" i="9" s="1"/>
  <c r="K18" i="9"/>
  <c r="K25" i="9"/>
  <c r="N17" i="9"/>
  <c r="R15" i="9"/>
  <c r="N18" i="9"/>
  <c r="K21" i="9"/>
  <c r="Q15" i="9"/>
  <c r="G15" i="9" s="1"/>
  <c r="R10" i="9"/>
  <c r="N21" i="9"/>
  <c r="AC10" i="9"/>
  <c r="K13" i="9"/>
  <c r="N16" i="9"/>
  <c r="R13" i="9"/>
  <c r="AC9" i="9"/>
  <c r="AE9" i="9" s="1"/>
  <c r="Q21" i="9"/>
  <c r="G21" i="9" s="1"/>
  <c r="Q11" i="9"/>
  <c r="K9" i="9"/>
  <c r="N12" i="9"/>
  <c r="G35" i="1"/>
  <c r="G35" i="13" s="1"/>
  <c r="N15" i="9"/>
  <c r="N22" i="9"/>
  <c r="R9" i="9"/>
  <c r="T9" i="9" s="1"/>
  <c r="R14" i="9"/>
  <c r="K11" i="9"/>
  <c r="R17" i="9"/>
  <c r="R22" i="9"/>
  <c r="K22" i="9"/>
  <c r="K12" i="9"/>
  <c r="K26" i="9"/>
  <c r="AC13" i="9"/>
  <c r="AE13" i="9" s="1"/>
  <c r="K15" i="9"/>
  <c r="N20" i="9"/>
  <c r="N25" i="9"/>
  <c r="C2" i="7"/>
  <c r="Y14" i="9"/>
  <c r="Y21" i="9"/>
  <c r="Y13" i="9"/>
  <c r="V23" i="9"/>
  <c r="V15" i="9"/>
  <c r="Y25" i="9"/>
  <c r="V14" i="9"/>
  <c r="Y22" i="9"/>
  <c r="Y9" i="9"/>
  <c r="AA9" i="9" s="1"/>
  <c r="V26" i="9"/>
  <c r="V18" i="9"/>
  <c r="Y10" i="9"/>
  <c r="Y15" i="9"/>
  <c r="L42" i="1"/>
  <c r="G37" i="1"/>
  <c r="V21" i="9"/>
  <c r="V24" i="9"/>
  <c r="V16" i="9"/>
  <c r="Y20" i="9"/>
  <c r="Y12" i="9"/>
  <c r="Y11" i="9"/>
  <c r="Y23" i="9"/>
  <c r="V12" i="9"/>
  <c r="V22" i="9"/>
  <c r="V13" i="9"/>
  <c r="Y24" i="9"/>
  <c r="V25" i="9"/>
  <c r="Y19" i="9"/>
  <c r="V11" i="9"/>
  <c r="Y16" i="9"/>
  <c r="Y26" i="9"/>
  <c r="V17" i="9"/>
  <c r="V9" i="9"/>
  <c r="Y18" i="9"/>
  <c r="V20" i="9"/>
  <c r="D107" i="1" l="1"/>
  <c r="C2" i="9"/>
  <c r="X9" i="9"/>
  <c r="C4" i="9" s="1"/>
  <c r="V9" i="3"/>
  <c r="N9" i="3" s="1"/>
  <c r="C3" i="6"/>
  <c r="H32" i="1" s="1"/>
  <c r="P9" i="9"/>
  <c r="V17" i="3"/>
  <c r="N17" i="3" s="1"/>
  <c r="M9" i="9"/>
  <c r="V14" i="3"/>
  <c r="N14" i="3" s="1"/>
  <c r="V15" i="3"/>
  <c r="N15" i="3" s="1"/>
  <c r="V12" i="3"/>
  <c r="N12" i="3" s="1"/>
  <c r="G104" i="13"/>
  <c r="G14" i="9"/>
  <c r="G13" i="9"/>
  <c r="V16" i="3"/>
  <c r="N16" i="3" s="1"/>
  <c r="V18" i="3"/>
  <c r="N18" i="3" s="1"/>
  <c r="N109" i="1"/>
  <c r="G111" i="13"/>
  <c r="M109" i="1"/>
  <c r="G110" i="13"/>
  <c r="L109" i="1"/>
  <c r="G109" i="13"/>
  <c r="M55" i="1"/>
  <c r="G37" i="13"/>
  <c r="O109" i="1"/>
  <c r="C5" i="9"/>
  <c r="G11" i="9"/>
  <c r="Q10" i="9"/>
  <c r="K39" i="1"/>
  <c r="M14" i="1" s="1"/>
  <c r="U13" i="3"/>
  <c r="V13" i="3" s="1"/>
  <c r="N13" i="3" s="1"/>
  <c r="M15" i="1"/>
  <c r="C2" i="2"/>
  <c r="D103" i="1" s="1"/>
  <c r="D34" i="1"/>
  <c r="M29" i="1"/>
  <c r="C2" i="4"/>
  <c r="D104" i="1" s="1"/>
  <c r="D104" i="13" s="1"/>
  <c r="C2" i="5"/>
  <c r="D3" i="3"/>
  <c r="D2" i="3"/>
  <c r="D5" i="3"/>
  <c r="D4" i="3"/>
  <c r="H111" i="1" l="1"/>
  <c r="H111" i="13" s="1"/>
  <c r="I111" i="13" s="1"/>
  <c r="D107" i="13"/>
  <c r="H110" i="1"/>
  <c r="H110" i="13" s="1"/>
  <c r="I110" i="13" s="1"/>
  <c r="H108" i="1"/>
  <c r="H35" i="1"/>
  <c r="D34" i="13"/>
  <c r="H37" i="1"/>
  <c r="I37" i="1" s="1"/>
  <c r="Q9" i="9"/>
  <c r="G9" i="9" s="1"/>
  <c r="C4" i="6"/>
  <c r="D108" i="1" s="1"/>
  <c r="D108" i="13" s="1"/>
  <c r="H105" i="1"/>
  <c r="I105" i="1" s="1"/>
  <c r="D103" i="13"/>
  <c r="I32" i="1"/>
  <c r="H32" i="13"/>
  <c r="I32" i="13" s="1"/>
  <c r="H38" i="1"/>
  <c r="G10" i="9"/>
  <c r="H33" i="1"/>
  <c r="H106" i="1"/>
  <c r="H34" i="1"/>
  <c r="H107" i="1"/>
  <c r="D30" i="1"/>
  <c r="M17" i="1"/>
  <c r="C4" i="10"/>
  <c r="M19" i="1"/>
  <c r="D31" i="1"/>
  <c r="D31" i="13" s="1"/>
  <c r="D32" i="1"/>
  <c r="D32" i="13" s="1"/>
  <c r="D105" i="1"/>
  <c r="D105" i="13" s="1"/>
  <c r="D6" i="3"/>
  <c r="H37" i="13" l="1"/>
  <c r="I37" i="13" s="1"/>
  <c r="I110" i="1"/>
  <c r="C3" i="9"/>
  <c r="D30" i="13"/>
  <c r="H105" i="13"/>
  <c r="I105" i="13" s="1"/>
  <c r="D35" i="1"/>
  <c r="D35" i="13" s="1"/>
  <c r="I111" i="1"/>
  <c r="I108" i="1"/>
  <c r="H108" i="13"/>
  <c r="I108" i="13" s="1"/>
  <c r="I35" i="1"/>
  <c r="H35" i="13"/>
  <c r="I35" i="13" s="1"/>
  <c r="I107" i="1"/>
  <c r="H107" i="13"/>
  <c r="I107" i="13" s="1"/>
  <c r="I106" i="1"/>
  <c r="H106" i="13"/>
  <c r="I106" i="13" s="1"/>
  <c r="I33" i="1"/>
  <c r="H33" i="13"/>
  <c r="I33" i="13" s="1"/>
  <c r="I34" i="1"/>
  <c r="H34" i="13"/>
  <c r="I34" i="13" s="1"/>
  <c r="I38" i="1"/>
  <c r="H38" i="13"/>
  <c r="I38" i="13" s="1"/>
  <c r="D106" i="1"/>
  <c r="D33" i="1"/>
  <c r="N28" i="1" s="1"/>
  <c r="D106" i="13" l="1"/>
  <c r="D36" i="1"/>
  <c r="H109" i="1"/>
  <c r="H109" i="13" s="1"/>
  <c r="I109" i="13" s="1"/>
  <c r="D109" i="1"/>
  <c r="H36" i="1"/>
  <c r="H36" i="13" s="1"/>
  <c r="I36" i="13" s="1"/>
  <c r="D33" i="13"/>
  <c r="D36" i="13" l="1"/>
  <c r="M31" i="1"/>
  <c r="M16" i="1"/>
  <c r="M18" i="1" s="1"/>
  <c r="D111" i="1"/>
  <c r="D111" i="13" s="1"/>
  <c r="D109" i="13"/>
  <c r="I109" i="1"/>
  <c r="I36" i="1"/>
  <c r="L115" i="1"/>
  <c r="N90" i="1" s="1"/>
  <c r="M91" i="1" l="1"/>
  <c r="M83" i="1"/>
  <c r="M85" i="1" s="1"/>
  <c r="D3" i="11" s="1"/>
  <c r="E3" i="11" s="1"/>
  <c r="M33" i="1"/>
  <c r="E23" i="1" s="1"/>
  <c r="E23" i="13" s="1"/>
  <c r="G3" i="11" l="1"/>
  <c r="F3" i="11"/>
  <c r="H3" i="11" l="1"/>
  <c r="D4" i="11" s="1"/>
  <c r="E4" i="11" s="1"/>
  <c r="F4" i="11" l="1"/>
  <c r="G4" i="11"/>
  <c r="H4" i="11" l="1"/>
  <c r="D5" i="11" s="1"/>
  <c r="E5" i="11" s="1"/>
  <c r="F5" i="11" l="1"/>
  <c r="G5" i="11"/>
  <c r="H5" i="11" l="1"/>
  <c r="D6" i="11" s="1"/>
  <c r="E6" i="11" l="1"/>
  <c r="F6" i="11" s="1"/>
  <c r="G6" i="11"/>
  <c r="H6" i="11" l="1"/>
  <c r="D7" i="11" s="1"/>
  <c r="G7" i="11"/>
  <c r="E7" i="11" l="1"/>
  <c r="F7" i="11" s="1"/>
  <c r="H7" i="11" s="1"/>
  <c r="D8" i="11" s="1"/>
  <c r="E8" i="11" s="1"/>
  <c r="F8" i="11" s="1"/>
  <c r="G8" i="11"/>
  <c r="H8" i="11" l="1"/>
  <c r="D9" i="11" s="1"/>
  <c r="G9" i="11" l="1"/>
  <c r="E9" i="11"/>
  <c r="F9" i="11" s="1"/>
  <c r="H9" i="11" s="1"/>
  <c r="D10" i="11" s="1"/>
  <c r="E10" i="11" l="1"/>
  <c r="F10" i="11" s="1"/>
  <c r="G10" i="11"/>
  <c r="H10" i="11" l="1"/>
  <c r="D11" i="11" s="1"/>
  <c r="G11" i="11"/>
  <c r="E11" i="11" l="1"/>
  <c r="F11" i="11" s="1"/>
  <c r="H11" i="11" s="1"/>
  <c r="D12" i="11" s="1"/>
  <c r="G12" i="11"/>
  <c r="E12" i="11" l="1"/>
  <c r="F12" i="11" s="1"/>
  <c r="H12" i="11" s="1"/>
  <c r="D13" i="11" s="1"/>
  <c r="G13" i="11"/>
  <c r="E13" i="11" l="1"/>
  <c r="F13" i="11" s="1"/>
  <c r="H13" i="11" s="1"/>
  <c r="D14" i="11" s="1"/>
  <c r="G14" i="11"/>
  <c r="E14" i="11" l="1"/>
  <c r="F14" i="11" s="1"/>
  <c r="H14" i="11" s="1"/>
  <c r="D15" i="11" s="1"/>
  <c r="G15" i="11"/>
  <c r="E15" i="11" l="1"/>
  <c r="F15" i="11" s="1"/>
  <c r="H15" i="11" s="1"/>
  <c r="D16" i="11" s="1"/>
  <c r="G16" i="11"/>
  <c r="E16" i="11" l="1"/>
  <c r="F16" i="11" s="1"/>
  <c r="H16" i="11" s="1"/>
  <c r="D17" i="11" s="1"/>
  <c r="G17" i="11" l="1"/>
  <c r="E17" i="11"/>
  <c r="F17" i="11" s="1"/>
  <c r="H17" i="11" s="1"/>
  <c r="D18" i="11" s="1"/>
  <c r="G18" i="11"/>
  <c r="E18" i="11" l="1"/>
  <c r="F18" i="11" s="1"/>
  <c r="H18" i="11" s="1"/>
  <c r="D19" i="11" s="1"/>
  <c r="G19" i="11"/>
  <c r="E19" i="11" l="1"/>
  <c r="F19" i="11" s="1"/>
  <c r="H19" i="11" s="1"/>
  <c r="D20" i="11" s="1"/>
  <c r="G20" i="11"/>
  <c r="E20" i="11" l="1"/>
  <c r="F20" i="11" s="1"/>
  <c r="H20" i="11" s="1"/>
  <c r="D21" i="11" s="1"/>
  <c r="G21" i="11"/>
  <c r="E21" i="11" l="1"/>
  <c r="F21" i="11" s="1"/>
  <c r="H21" i="11" s="1"/>
  <c r="D22" i="11" s="1"/>
  <c r="E22" i="11" s="1"/>
  <c r="F22" i="11" s="1"/>
  <c r="G22" i="11"/>
  <c r="H22" i="11" l="1"/>
  <c r="D23" i="11" s="1"/>
  <c r="E23" i="11" s="1"/>
  <c r="F23" i="11" l="1"/>
  <c r="G23" i="11"/>
  <c r="H23" i="11" l="1"/>
  <c r="D24" i="11" s="1"/>
  <c r="E24" i="11" l="1"/>
  <c r="F24" i="11" s="1"/>
  <c r="G24" i="11"/>
  <c r="H24" i="11" l="1"/>
  <c r="D25" i="11" s="1"/>
  <c r="E25" i="11" s="1"/>
  <c r="F25" i="11" s="1"/>
  <c r="G25" i="11"/>
  <c r="H25" i="11" l="1"/>
  <c r="D26" i="11" s="1"/>
  <c r="E26" i="11" s="1"/>
  <c r="G26" i="11" l="1"/>
  <c r="F26" i="11"/>
  <c r="H26" i="11" l="1"/>
  <c r="D27" i="11" s="1"/>
  <c r="E27" i="11" l="1"/>
  <c r="F27" i="11" s="1"/>
  <c r="G27" i="11"/>
  <c r="H27" i="11" l="1"/>
  <c r="D28" i="11" s="1"/>
  <c r="E28" i="11" s="1"/>
  <c r="F28" i="11" s="1"/>
  <c r="G28" i="11"/>
  <c r="H28" i="11" l="1"/>
  <c r="D29" i="11" s="1"/>
  <c r="E29" i="11" l="1"/>
  <c r="F29" i="11" s="1"/>
  <c r="G29" i="11"/>
  <c r="H29" i="11" l="1"/>
  <c r="D30" i="11" s="1"/>
  <c r="G30" i="11"/>
  <c r="E30" i="11" l="1"/>
  <c r="F30" i="11" s="1"/>
  <c r="H30" i="11" s="1"/>
  <c r="D31" i="11" s="1"/>
  <c r="E31" i="11" s="1"/>
  <c r="F31" i="11" s="1"/>
  <c r="G31" i="11"/>
  <c r="H31" i="11" l="1"/>
  <c r="D32" i="11" s="1"/>
  <c r="G32" i="11" l="1"/>
  <c r="E32" i="11"/>
  <c r="F32" i="11" s="1"/>
  <c r="H32" i="11" s="1"/>
  <c r="D33" i="11" s="1"/>
  <c r="E33" i="11" s="1"/>
  <c r="F33" i="11" l="1"/>
  <c r="G33" i="11"/>
  <c r="H33" i="11" l="1"/>
  <c r="D34" i="11" s="1"/>
  <c r="E34" i="11" l="1"/>
  <c r="F34" i="11" s="1"/>
  <c r="G34" i="11"/>
  <c r="H34" i="11" l="1"/>
  <c r="D35" i="11" s="1"/>
  <c r="G35" i="11"/>
  <c r="E35" i="11" l="1"/>
  <c r="F35" i="11" s="1"/>
  <c r="H35" i="11" s="1"/>
  <c r="D36" i="11" s="1"/>
  <c r="E36" i="11" s="1"/>
  <c r="F36" i="11" s="1"/>
  <c r="G36" i="11"/>
  <c r="H36" i="11" l="1"/>
  <c r="D37" i="11" s="1"/>
  <c r="G37" i="11" l="1"/>
  <c r="E37" i="11"/>
  <c r="F37" i="11" s="1"/>
  <c r="H37" i="11" s="1"/>
  <c r="D38" i="11" s="1"/>
  <c r="E38" i="11" s="1"/>
  <c r="F38" i="11" l="1"/>
  <c r="G38" i="11"/>
  <c r="H38" i="11" l="1"/>
  <c r="D39" i="11" s="1"/>
  <c r="E39" i="11" l="1"/>
  <c r="F39" i="11" s="1"/>
  <c r="G39" i="11"/>
  <c r="H39" i="11" l="1"/>
  <c r="D40" i="11" s="1"/>
  <c r="E40" i="11" s="1"/>
  <c r="F40" i="11" s="1"/>
  <c r="G40" i="11"/>
  <c r="H40" i="11" l="1"/>
  <c r="D41" i="11" s="1"/>
  <c r="G41" i="11" l="1"/>
  <c r="E41" i="11"/>
  <c r="F41" i="11" s="1"/>
  <c r="H41" i="11" s="1"/>
  <c r="D42" i="11" s="1"/>
  <c r="E42" i="11" s="1"/>
  <c r="F42" i="11" l="1"/>
  <c r="G42" i="11"/>
  <c r="H42" i="11" l="1"/>
  <c r="D43" i="11" s="1"/>
  <c r="G43" i="11" l="1"/>
  <c r="E43" i="11"/>
  <c r="F43" i="11"/>
  <c r="H43" i="11" s="1"/>
  <c r="D44" i="11" s="1"/>
  <c r="E44" i="11" l="1"/>
  <c r="F44" i="11" s="1"/>
  <c r="G44" i="11"/>
  <c r="H44" i="11" l="1"/>
  <c r="D45" i="11" s="1"/>
  <c r="G45" i="11"/>
  <c r="E45" i="11" l="1"/>
  <c r="F45" i="11" s="1"/>
  <c r="H45" i="11" s="1"/>
  <c r="D46" i="11" s="1"/>
  <c r="G46" i="11" l="1"/>
  <c r="E46" i="11"/>
  <c r="F46" i="11" s="1"/>
  <c r="H46" i="11" s="1"/>
  <c r="D47" i="11" s="1"/>
  <c r="E47" i="11" s="1"/>
  <c r="F47" i="11" s="1"/>
  <c r="G47" i="11"/>
  <c r="H47" i="11" l="1"/>
  <c r="D48" i="11" s="1"/>
  <c r="E48" i="11" l="1"/>
  <c r="F48" i="11" s="1"/>
  <c r="G48" i="11"/>
  <c r="H48" i="11" l="1"/>
  <c r="D49" i="11" s="1"/>
  <c r="G49" i="11" l="1"/>
  <c r="E49" i="11"/>
  <c r="F49" i="11" s="1"/>
  <c r="H49" i="11" s="1"/>
  <c r="D50" i="11" s="1"/>
  <c r="G50" i="11" l="1"/>
  <c r="E50" i="11"/>
  <c r="F50" i="11" s="1"/>
  <c r="H50" i="11" s="1"/>
  <c r="D51" i="11" s="1"/>
  <c r="G51" i="11"/>
  <c r="E51" i="11" l="1"/>
  <c r="F51" i="11" s="1"/>
  <c r="H51" i="11" s="1"/>
  <c r="D52" i="11" s="1"/>
  <c r="G52" i="11"/>
  <c r="E52" i="11" l="1"/>
  <c r="F52" i="11" s="1"/>
  <c r="H52" i="11" s="1"/>
  <c r="D53" i="11" s="1"/>
  <c r="G53" i="11" l="1"/>
  <c r="E53" i="11"/>
  <c r="F53" i="11" s="1"/>
  <c r="H53" i="11" s="1"/>
  <c r="D54" i="11" s="1"/>
  <c r="G54" i="11"/>
  <c r="E54" i="11" l="1"/>
  <c r="F54" i="11" s="1"/>
  <c r="H54" i="11" s="1"/>
  <c r="D55" i="11" s="1"/>
  <c r="G55" i="11" l="1"/>
  <c r="E55" i="11"/>
  <c r="F55" i="11" s="1"/>
  <c r="H55" i="11" s="1"/>
  <c r="D56" i="11" s="1"/>
  <c r="G56" i="11"/>
  <c r="E56" i="11" l="1"/>
  <c r="F56" i="11" s="1"/>
  <c r="H56" i="11" s="1"/>
  <c r="D57" i="11" s="1"/>
  <c r="G57" i="11" l="1"/>
  <c r="E57" i="11"/>
  <c r="F57" i="11" s="1"/>
  <c r="H57" i="11" s="1"/>
  <c r="D58" i="11" s="1"/>
  <c r="G58" i="11" l="1"/>
  <c r="E58" i="11"/>
  <c r="F58" i="11" s="1"/>
  <c r="H58" i="11" s="1"/>
  <c r="D59" i="11" s="1"/>
  <c r="G59" i="11"/>
  <c r="E59" i="11" l="1"/>
  <c r="F59" i="11" s="1"/>
  <c r="H59" i="11" s="1"/>
  <c r="D60" i="11" s="1"/>
  <c r="G60" i="11" l="1"/>
  <c r="E60" i="11"/>
  <c r="F60" i="11" s="1"/>
  <c r="H60" i="11" s="1"/>
  <c r="D61" i="11" s="1"/>
  <c r="E61" i="11" s="1"/>
  <c r="F61" i="11" s="1"/>
  <c r="G61" i="11"/>
  <c r="H61" i="11" l="1"/>
  <c r="D62" i="11" s="1"/>
  <c r="E62" i="11" l="1"/>
  <c r="F62" i="11" s="1"/>
  <c r="G62" i="11"/>
  <c r="H62" i="11" l="1"/>
  <c r="D63" i="11" s="1"/>
  <c r="G63" i="11"/>
  <c r="E63" i="11" l="1"/>
  <c r="F63" i="11" s="1"/>
  <c r="H63" i="11" s="1"/>
  <c r="D64" i="11" s="1"/>
  <c r="G64" i="11"/>
  <c r="E64" i="11" l="1"/>
  <c r="F64" i="11" s="1"/>
  <c r="H64" i="11" s="1"/>
  <c r="D65" i="11" s="1"/>
  <c r="G65" i="11"/>
  <c r="E65" i="11" l="1"/>
  <c r="F65" i="11" s="1"/>
  <c r="H65" i="11" s="1"/>
  <c r="D66" i="11" s="1"/>
  <c r="E66" i="11" s="1"/>
  <c r="F66" i="11" s="1"/>
  <c r="G66" i="11"/>
  <c r="H66" i="11" l="1"/>
  <c r="D67" i="11" s="1"/>
  <c r="E67" i="11" l="1"/>
  <c r="F67" i="11" s="1"/>
  <c r="G67" i="11"/>
  <c r="H67" i="11" l="1"/>
  <c r="D68" i="11" s="1"/>
  <c r="E68" i="11" s="1"/>
  <c r="F68" i="11" s="1"/>
  <c r="G68" i="11"/>
  <c r="H68" i="11" l="1"/>
  <c r="D69" i="11" s="1"/>
  <c r="E69" i="11" l="1"/>
  <c r="F69" i="11" s="1"/>
  <c r="G69" i="11"/>
  <c r="H69" i="11" l="1"/>
  <c r="D70" i="11" s="1"/>
  <c r="E70" i="11" s="1"/>
  <c r="F70" i="11" s="1"/>
  <c r="G70" i="11"/>
  <c r="H70" i="11" l="1"/>
  <c r="D71" i="11" s="1"/>
  <c r="E71" i="11" l="1"/>
  <c r="F71" i="11" s="1"/>
  <c r="G71" i="11"/>
  <c r="H71" i="11" l="1"/>
  <c r="D72" i="11" s="1"/>
  <c r="G72" i="11"/>
  <c r="E72" i="11" l="1"/>
  <c r="F72" i="11" s="1"/>
  <c r="H72" i="11" s="1"/>
  <c r="D73" i="11" s="1"/>
  <c r="E73" i="11" s="1"/>
  <c r="F73" i="11" s="1"/>
  <c r="G73" i="11"/>
  <c r="H73" i="11" l="1"/>
  <c r="D74" i="11" s="1"/>
  <c r="E74" i="11" l="1"/>
  <c r="F74" i="11" s="1"/>
  <c r="G74" i="11"/>
  <c r="H74" i="11" l="1"/>
  <c r="D75" i="11" s="1"/>
  <c r="G75" i="11" l="1"/>
  <c r="E75" i="11"/>
  <c r="F75" i="11" s="1"/>
  <c r="H75" i="11" s="1"/>
  <c r="D76" i="11" s="1"/>
  <c r="E76" i="11" s="1"/>
  <c r="F76" i="11" s="1"/>
  <c r="G76" i="11"/>
  <c r="H76" i="11" l="1"/>
  <c r="D77" i="11" s="1"/>
  <c r="E77" i="11" l="1"/>
  <c r="F77" i="11" s="1"/>
  <c r="G77" i="11"/>
  <c r="H77" i="11" l="1"/>
  <c r="D78" i="11" s="1"/>
  <c r="E78" i="11" s="1"/>
  <c r="F78" i="11" s="1"/>
  <c r="G78" i="11"/>
  <c r="H78" i="11" l="1"/>
  <c r="D79" i="11" s="1"/>
  <c r="E79" i="11" l="1"/>
  <c r="F79" i="11" s="1"/>
  <c r="G79" i="11"/>
  <c r="H79" i="11" l="1"/>
  <c r="D80" i="11" s="1"/>
  <c r="G80" i="11"/>
  <c r="E80" i="11" l="1"/>
  <c r="F80" i="11" s="1"/>
  <c r="H80" i="11" s="1"/>
  <c r="D81" i="11" s="1"/>
  <c r="G81" i="11" l="1"/>
  <c r="E81" i="11"/>
  <c r="F81" i="11" s="1"/>
  <c r="H81" i="11" s="1"/>
  <c r="D82" i="11" s="1"/>
  <c r="E82" i="11" s="1"/>
  <c r="F82" i="11" s="1"/>
  <c r="G82" i="11"/>
  <c r="H82" i="11" l="1"/>
  <c r="D83" i="11" s="1"/>
  <c r="E83" i="11" l="1"/>
  <c r="F83" i="11" s="1"/>
  <c r="G83" i="11"/>
  <c r="H83" i="11" l="1"/>
  <c r="D84" i="11" s="1"/>
  <c r="E84" i="11" s="1"/>
  <c r="F84" i="11" s="1"/>
  <c r="G84" i="11"/>
  <c r="H84" i="11" l="1"/>
  <c r="D85" i="11" s="1"/>
  <c r="E85" i="11" l="1"/>
  <c r="F85" i="11" s="1"/>
  <c r="G85" i="11"/>
  <c r="H85" i="11" l="1"/>
  <c r="D86" i="11" s="1"/>
  <c r="E86" i="11" s="1"/>
  <c r="F86" i="11" s="1"/>
  <c r="G86" i="11"/>
  <c r="H86" i="11" l="1"/>
  <c r="D87" i="11" s="1"/>
  <c r="G87" i="11" l="1"/>
  <c r="E87" i="11"/>
  <c r="F87" i="11" s="1"/>
  <c r="H87" i="11" s="1"/>
  <c r="D88" i="11" s="1"/>
  <c r="E88" i="11" s="1"/>
  <c r="F88" i="11" l="1"/>
  <c r="G88" i="11"/>
  <c r="H88" i="11" l="1"/>
  <c r="D89" i="11" s="1"/>
  <c r="E89" i="11" l="1"/>
  <c r="F89" i="11" s="1"/>
  <c r="G89" i="11"/>
  <c r="H89" i="11" l="1"/>
  <c r="D90" i="11" s="1"/>
  <c r="G90" i="11"/>
  <c r="E90" i="11" l="1"/>
  <c r="F90" i="11" s="1"/>
  <c r="H90" i="11" s="1"/>
  <c r="D91" i="11" s="1"/>
  <c r="G91" i="11"/>
  <c r="E91" i="11" l="1"/>
  <c r="F91" i="11" s="1"/>
  <c r="H91" i="11" s="1"/>
  <c r="D92" i="11" s="1"/>
  <c r="E92" i="11" s="1"/>
  <c r="F92" i="11" s="1"/>
  <c r="G92" i="11"/>
  <c r="H92" i="11" l="1"/>
  <c r="D93" i="11" s="1"/>
  <c r="E93" i="11" l="1"/>
  <c r="F93" i="11" s="1"/>
  <c r="G93" i="11"/>
  <c r="H93" i="11" l="1"/>
  <c r="D94" i="11" s="1"/>
  <c r="G94" i="11"/>
  <c r="E94" i="11" l="1"/>
  <c r="F94" i="11" s="1"/>
  <c r="H94" i="11" s="1"/>
  <c r="D95" i="11" s="1"/>
  <c r="G95" i="11" l="1"/>
  <c r="E95" i="11"/>
  <c r="F95" i="11" s="1"/>
  <c r="H95" i="11" s="1"/>
  <c r="D96" i="11" s="1"/>
  <c r="G96" i="11"/>
  <c r="E96" i="11" l="1"/>
  <c r="F96" i="11" s="1"/>
  <c r="H96" i="11" s="1"/>
  <c r="D97" i="11" s="1"/>
  <c r="G97" i="11" l="1"/>
  <c r="E97" i="11"/>
  <c r="F97" i="11" s="1"/>
  <c r="H97" i="11" s="1"/>
  <c r="D98" i="11" s="1"/>
  <c r="G98" i="11" l="1"/>
  <c r="E98" i="11"/>
  <c r="F98" i="11" s="1"/>
  <c r="H98" i="11" s="1"/>
  <c r="D99" i="11" s="1"/>
  <c r="G99" i="11"/>
  <c r="E99" i="11" l="1"/>
  <c r="F99" i="11" s="1"/>
  <c r="H99" i="11" s="1"/>
  <c r="D100" i="11" s="1"/>
  <c r="G100" i="11"/>
  <c r="E100" i="11" l="1"/>
  <c r="F100" i="11" s="1"/>
  <c r="H100" i="11" s="1"/>
  <c r="D101" i="11" s="1"/>
  <c r="G101" i="11"/>
  <c r="M92" i="1"/>
  <c r="M96" i="1" s="1"/>
  <c r="E101" i="11" l="1"/>
  <c r="F101" i="11" s="1"/>
  <c r="H101" i="11" s="1"/>
  <c r="D102" i="11" s="1"/>
  <c r="G102" i="11"/>
  <c r="H39" i="1" s="1"/>
  <c r="M98" i="1"/>
  <c r="E96" i="1" s="1"/>
  <c r="E96" i="13" s="1"/>
  <c r="E95" i="1" l="1"/>
  <c r="E95" i="13" s="1"/>
  <c r="E102" i="11"/>
  <c r="F102" i="11" s="1"/>
  <c r="H104" i="1" s="1"/>
  <c r="I104" i="1" s="1"/>
  <c r="E22" i="1"/>
  <c r="C73" i="1" s="1"/>
  <c r="C99" i="1" s="1"/>
  <c r="D37" i="1"/>
  <c r="D37" i="13" s="1"/>
  <c r="C76" i="1"/>
  <c r="H102" i="11"/>
  <c r="D114" i="1"/>
  <c r="D114" i="13" s="1"/>
  <c r="D41" i="1"/>
  <c r="D41" i="13" s="1"/>
  <c r="H31" i="1"/>
  <c r="I39" i="1"/>
  <c r="H39" i="13"/>
  <c r="I39" i="13" s="1"/>
  <c r="C79" i="1" l="1"/>
  <c r="E22" i="13"/>
  <c r="C26" i="1"/>
  <c r="C26" i="13" s="1"/>
  <c r="H104" i="13"/>
  <c r="I104" i="13" s="1"/>
  <c r="D38" i="1"/>
  <c r="D38" i="13" s="1"/>
  <c r="D115" i="1"/>
  <c r="D115" i="13" s="1"/>
  <c r="I31" i="1"/>
  <c r="H31" i="13"/>
  <c r="I31" i="13" s="1"/>
  <c r="D42" i="1"/>
  <c r="D42" i="13" s="1"/>
  <c r="C99" i="1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<sst xmlns="http://schemas.openxmlformats.org/spreadsheetml/2006/main" count="704" uniqueCount="338">
  <si>
    <t>Device</t>
  </si>
  <si>
    <t>1st iteration VCC leakage Power</t>
  </si>
  <si>
    <t>Family</t>
  </si>
  <si>
    <t>Trion</t>
  </si>
  <si>
    <t>1st iteration VDDQ leakage Power</t>
  </si>
  <si>
    <t>1st iteration VCC static power</t>
  </si>
  <si>
    <t>Package</t>
  </si>
  <si>
    <t>F324</t>
  </si>
  <si>
    <t>1st iteration DDR power</t>
  </si>
  <si>
    <t>Grade</t>
  </si>
  <si>
    <t>1st iteration total power</t>
  </si>
  <si>
    <t>Condition</t>
  </si>
  <si>
    <t>Typical</t>
  </si>
  <si>
    <t>Voltage Variation</t>
  </si>
  <si>
    <t>Nominal</t>
  </si>
  <si>
    <t>Total DDR dynamic power only</t>
  </si>
  <si>
    <t>Static Current (mA)</t>
  </si>
  <si>
    <t>Note:</t>
  </si>
  <si>
    <t>(G11)18.25 is after division 21.9mA (average 10 parts different with/without VDDQ powered) by 1.2V</t>
  </si>
  <si>
    <t>Thermal Profile</t>
  </si>
  <si>
    <t>Ambient Temperature (°C)</t>
  </si>
  <si>
    <t>VDDQ</t>
  </si>
  <si>
    <t>leakage power @ max temp</t>
  </si>
  <si>
    <t>Airflow</t>
  </si>
  <si>
    <t>VCC</t>
  </si>
  <si>
    <t>Cooling Solution</t>
  </si>
  <si>
    <t>None</t>
  </si>
  <si>
    <t>For 100 iterations total power calculation on VCC jump and extra VCC with VDDQ enabled</t>
  </si>
  <si>
    <t>Board Thermal Model</t>
  </si>
  <si>
    <t>JEDEC (2s2p)</t>
  </si>
  <si>
    <t>Effective Theta-JA  (°C/W)</t>
  </si>
  <si>
    <t>Junction Temperature (°C)</t>
  </si>
  <si>
    <t>Maximum ambient temperature</t>
  </si>
  <si>
    <t>Notes:</t>
  </si>
  <si>
    <t>Block Power Summary</t>
  </si>
  <si>
    <t>Power Supply Summary</t>
  </si>
  <si>
    <t xml:space="preserve">Resource </t>
  </si>
  <si>
    <t>Power per Block (mW)</t>
  </si>
  <si>
    <t xml:space="preserve">Source </t>
  </si>
  <si>
    <t>Voltage (V)</t>
  </si>
  <si>
    <t>Power per supply (mW)</t>
  </si>
  <si>
    <t>Current per supply (mA)</t>
  </si>
  <si>
    <t>VDDQ+VCC</t>
  </si>
  <si>
    <t>Total Pstatic (mW)</t>
  </si>
  <si>
    <t>Logic</t>
  </si>
  <si>
    <t>Memory</t>
  </si>
  <si>
    <t>Total Power (mW)</t>
  </si>
  <si>
    <t>Multiplier</t>
  </si>
  <si>
    <t>VCCA</t>
  </si>
  <si>
    <t>Theta JA @max temp</t>
  </si>
  <si>
    <t>IO</t>
  </si>
  <si>
    <t xml:space="preserve">VCCIO </t>
  </si>
  <si>
    <t>Maximum allow Ta</t>
  </si>
  <si>
    <t>Clock</t>
  </si>
  <si>
    <t>PLL</t>
  </si>
  <si>
    <t>MIPI</t>
  </si>
  <si>
    <t>VCC12A_MIPI_TX</t>
  </si>
  <si>
    <t>DDR</t>
  </si>
  <si>
    <t>VCC12A_MIPI_RX</t>
  </si>
  <si>
    <t>Dynamic Power (mW)</t>
  </si>
  <si>
    <t>VCC25A_MIPI</t>
  </si>
  <si>
    <t>VCC leakage</t>
  </si>
  <si>
    <t>Static Power (mW)</t>
  </si>
  <si>
    <t>power jump from CRESET LOW to user mode</t>
  </si>
  <si>
    <t>F400</t>
  </si>
  <si>
    <t>Maximum</t>
  </si>
  <si>
    <t>Custom</t>
  </si>
  <si>
    <t>VDDQ power static leakage for DDR</t>
  </si>
  <si>
    <t>VCC12A TX-PHY leakage</t>
  </si>
  <si>
    <t>VCC12A RX-PHY leakage</t>
  </si>
  <si>
    <t>VCC25A RX leakage</t>
  </si>
  <si>
    <t>VCC12D TX&amp;RX controller leakage</t>
  </si>
  <si>
    <t>temperature more than 85c</t>
  </si>
  <si>
    <t>message</t>
  </si>
  <si>
    <t>temperature more than 100c</t>
  </si>
  <si>
    <t>Thermal run away message</t>
  </si>
  <si>
    <t>VCC Domain</t>
  </si>
  <si>
    <t>VDDQ Domain</t>
  </si>
  <si>
    <t>Iteration</t>
  </si>
  <si>
    <t>Tj</t>
  </si>
  <si>
    <t>Leakage Power (mW)</t>
  </si>
  <si>
    <t>Total power (mW)</t>
  </si>
  <si>
    <t>LOGIC POWER</t>
  </si>
  <si>
    <t>Module Name</t>
  </si>
  <si>
    <t>Clock Frequency (MHz)</t>
  </si>
  <si>
    <t># LUTs</t>
  </si>
  <si>
    <t># FFs</t>
  </si>
  <si>
    <t>AF</t>
  </si>
  <si>
    <t>Power (mW)</t>
  </si>
  <si>
    <t>MEMORY POWER</t>
  </si>
  <si>
    <t># Memory Blocks</t>
  </si>
  <si>
    <t>MULTIPLIER POWER</t>
  </si>
  <si>
    <t># Multiplier Blocks</t>
  </si>
  <si>
    <t>CLOCK POWER</t>
  </si>
  <si>
    <t>Domain</t>
  </si>
  <si>
    <t>Total Fanout</t>
  </si>
  <si>
    <t>IO POWER</t>
  </si>
  <si>
    <t>VCCIO</t>
  </si>
  <si>
    <t>Total VCCIO</t>
  </si>
  <si>
    <t xml:space="preserve">Dynamic </t>
  </si>
  <si>
    <t>Dynamic</t>
  </si>
  <si>
    <t>Static + Dynamic</t>
  </si>
  <si>
    <t>Static</t>
  </si>
  <si>
    <t>Total</t>
  </si>
  <si>
    <t xml:space="preserve">Total </t>
  </si>
  <si>
    <t>SE</t>
  </si>
  <si>
    <t>I/O Standard (V)</t>
  </si>
  <si>
    <t>Current Strength (mA)</t>
  </si>
  <si>
    <r>
      <t>V</t>
    </r>
    <r>
      <rPr>
        <b/>
        <sz val="8"/>
        <color theme="1"/>
        <rFont val="Calibri"/>
        <family val="2"/>
        <scheme val="minor"/>
      </rPr>
      <t>OD</t>
    </r>
    <r>
      <rPr>
        <b/>
        <sz val="11"/>
        <color theme="1"/>
        <rFont val="Calibri"/>
        <family val="2"/>
        <scheme val="minor"/>
      </rPr>
      <t xml:space="preserve"> Setting</t>
    </r>
  </si>
  <si>
    <t>Drive Setting</t>
  </si>
  <si>
    <t># Input Pins</t>
  </si>
  <si>
    <t># Output Pins</t>
  </si>
  <si>
    <t># Bidirectional Pins</t>
  </si>
  <si>
    <t>Data Rate</t>
  </si>
  <si>
    <t>Load(pF)</t>
  </si>
  <si>
    <t>Normal GPIO</t>
  </si>
  <si>
    <t>LVDS TX</t>
  </si>
  <si>
    <t>LVDS RX</t>
  </si>
  <si>
    <t xml:space="preserve">LVDS </t>
  </si>
  <si>
    <t>LVDS</t>
  </si>
  <si>
    <t>3.3V LVDS</t>
  </si>
  <si>
    <t>SDR</t>
  </si>
  <si>
    <t>1.8V LVCMOS</t>
  </si>
  <si>
    <t>2.5V LVCMOS</t>
  </si>
  <si>
    <t>3.3V LVCMOS</t>
  </si>
  <si>
    <t>3.3V LVTTL</t>
  </si>
  <si>
    <t>3.3V LVDS as GPIO</t>
  </si>
  <si>
    <t>PLL POWER</t>
  </si>
  <si>
    <t>VCC+VCCA</t>
  </si>
  <si>
    <t xml:space="preserve">Static </t>
  </si>
  <si>
    <t>Output Clock Frequency 
(MHz)</t>
  </si>
  <si>
    <t>VCO Frequency 
(MHz)</t>
  </si>
  <si>
    <t>MIPI POWER</t>
  </si>
  <si>
    <t>VCC12A_TX_MIPI</t>
  </si>
  <si>
    <t>VCC12A_RX_MIPI</t>
  </si>
  <si>
    <t>HS TX</t>
  </si>
  <si>
    <t>PLL TX</t>
  </si>
  <si>
    <t>Total HS + PLL Power</t>
  </si>
  <si>
    <t>LP TX</t>
  </si>
  <si>
    <t>HS RX</t>
  </si>
  <si>
    <t>LP RX</t>
  </si>
  <si>
    <t>HS</t>
  </si>
  <si>
    <t>VCC12D_MIPI</t>
  </si>
  <si>
    <t># of Channels</t>
  </si>
  <si>
    <t>Mode</t>
  </si>
  <si>
    <t>Data Rate (Mbps)</t>
  </si>
  <si>
    <t>AF (%)</t>
  </si>
  <si>
    <t>Percentage of time in HS Mode (%)</t>
  </si>
  <si>
    <t>Frequency (MHz)</t>
  </si>
  <si>
    <t>Percentage of time in LP Mode (%)</t>
  </si>
  <si>
    <t>DC Power</t>
  </si>
  <si>
    <t>Dynamic Power</t>
  </si>
  <si>
    <t>Total Power</t>
  </si>
  <si>
    <t xml:space="preserve">Dynamic Power </t>
  </si>
  <si>
    <t>Dynamic(controller)-TX&amp;RX</t>
  </si>
  <si>
    <t>Total Dynamic Power (controller)-TX&amp;RX</t>
  </si>
  <si>
    <t>RX PHY</t>
  </si>
  <si>
    <t>Total RX PHY</t>
  </si>
  <si>
    <t>TX PHY</t>
  </si>
  <si>
    <t>Total TX PHY</t>
  </si>
  <si>
    <t>TX&amp;RX</t>
  </si>
  <si>
    <t>RX</t>
  </si>
  <si>
    <t xml:space="preserve">TX </t>
  </si>
  <si>
    <t>DDR POWER</t>
  </si>
  <si>
    <t>VCC+VDDQ</t>
  </si>
  <si>
    <t>-</t>
  </si>
  <si>
    <t>Not scale/Default VCC DC for DDR</t>
  </si>
  <si>
    <t>Scale with percentage read/write</t>
  </si>
  <si>
    <t>VCC (mW)</t>
  </si>
  <si>
    <t>VDDQ (mW)</t>
  </si>
  <si>
    <t>VCC + VDDQ (mW)</t>
  </si>
  <si>
    <t>DDR Type</t>
  </si>
  <si>
    <t>DQ Width</t>
  </si>
  <si>
    <t>AXI Interface</t>
  </si>
  <si>
    <t>Percentage of time in read mode (%)</t>
  </si>
  <si>
    <t>Percentage of time in write mode (%)</t>
  </si>
  <si>
    <t>VDDQ Voltage (V)</t>
  </si>
  <si>
    <t>VDDQ DC Power for DDR Read (mW)</t>
  </si>
  <si>
    <t>VDDQ DC Power for DDR Write (mW)</t>
  </si>
  <si>
    <t>VDDQ DC Power for DDR (mW)</t>
  </si>
  <si>
    <t>VCC DC Power for DDR Read (mW)</t>
  </si>
  <si>
    <t>VCC DC Power for DDR Write (mW)</t>
  </si>
  <si>
    <t>DC for DDR</t>
  </si>
  <si>
    <t>Checking LPDDR2</t>
  </si>
  <si>
    <t>Checking DDR Type</t>
  </si>
  <si>
    <t>Number of DDR interface</t>
  </si>
  <si>
    <t>Read Dynamic Power (mW)</t>
  </si>
  <si>
    <t>Write Dynamic Power (mW)</t>
  </si>
  <si>
    <t>Read + write dynamic power (mW)</t>
  </si>
  <si>
    <t>Read + write dynamic current (mA)</t>
  </si>
  <si>
    <t>DDR3</t>
  </si>
  <si>
    <t>x16</t>
  </si>
  <si>
    <t>x128</t>
  </si>
  <si>
    <t>DDR3L</t>
  </si>
  <si>
    <t>LPDDR3</t>
  </si>
  <si>
    <t>LPDDR2</t>
  </si>
  <si>
    <t>Revision History:</t>
  </si>
  <si>
    <t xml:space="preserve">Version </t>
  </si>
  <si>
    <t>Remarks</t>
  </si>
  <si>
    <t>T20</t>
  </si>
  <si>
    <t>F256</t>
  </si>
  <si>
    <t>F169</t>
  </si>
  <si>
    <t>T13</t>
  </si>
  <si>
    <t>DC power</t>
  </si>
  <si>
    <t>F169 VCC12A TX-PHY leakage</t>
  </si>
  <si>
    <t>F169 VCC12A RX-PHY leakage</t>
  </si>
  <si>
    <t>F169 VCC25A RX leakage</t>
  </si>
  <si>
    <t>F169 VCC12D TX&amp;RX controller leakage</t>
  </si>
  <si>
    <t>jump from CRESET LOW to user mode</t>
  </si>
  <si>
    <t>Initial preliminary release. Not support B169 package</t>
  </si>
  <si>
    <t xml:space="preserve">Update formula for static power </t>
  </si>
  <si>
    <t>LVDS and PLL formulas update</t>
  </si>
  <si>
    <t>IO, PLL and main tab power formulas update</t>
  </si>
  <si>
    <t>Model back correctly the jump in current from CRESET LOW to user mode</t>
  </si>
  <si>
    <t>Support MIPI power estimation for F169 package</t>
  </si>
  <si>
    <t>Update on VCC25A_MIPI DC power beside the first row when TX&amp;RX is selected</t>
  </si>
  <si>
    <t>Update MIPI TX leakage, move the MIPI leakage into operating power, update on clock and PLL tabs user interface</t>
  </si>
  <si>
    <t>Update the maximum condition leakage power formula to align with new bin limit in the production test</t>
  </si>
  <si>
    <t>Minimum</t>
  </si>
  <si>
    <t>Output Enable</t>
  </si>
  <si>
    <t>-Only "3.3V LVDS" IO standard is having input pin power estimation. Other IO standards input pin power is not significant</t>
  </si>
  <si>
    <t>Include T20F324 and T20F400 packages selection based on T35 v0.5. Place the MIPI controller induce VCC leakage Power into the static power. Change voltage condition selection to minimum, nominal and maximum. Update PLL VCO frequency range and output frequency range. Include note into IO tab</t>
  </si>
  <si>
    <t>Efinix Power Estimator</t>
  </si>
  <si>
    <t>Initial release</t>
  </si>
  <si>
    <t>x8</t>
  </si>
  <si>
    <t>Low Power Option</t>
  </si>
  <si>
    <t>Yes</t>
  </si>
  <si>
    <t>No</t>
  </si>
  <si>
    <t>Date</t>
  </si>
  <si>
    <t>Total Dynamic + DC Power (mW)</t>
  </si>
  <si>
    <t>Added low power option
Added AF for DDR hard block
Updated power supply summary for the VCC voltage domain.
Included MIPI VCC leakage into the static power when the package is F169</t>
  </si>
  <si>
    <t>W80</t>
  </si>
  <si>
    <t>Thermal Model, theta JA (F256,F169,W80)</t>
  </si>
  <si>
    <t>withLVDS</t>
  </si>
  <si>
    <t>NoLVDS</t>
  </si>
  <si>
    <t>Added T20W80 package</t>
  </si>
  <si>
    <t>Q144</t>
  </si>
  <si>
    <t>Added T20Q144 package</t>
  </si>
  <si>
    <t>Q4</t>
  </si>
  <si>
    <t>I4</t>
  </si>
  <si>
    <t>C4</t>
  </si>
  <si>
    <t>C3</t>
  </si>
  <si>
    <t>temperature more than 105c</t>
  </si>
  <si>
    <t>Device junction temperature exceeds the maximum operating temperature based on the selected grade . Please reduce the ambient temperature or improve cooling solution to your system. Please consult Efinix Application Engineer for more suggestion on the thermal solutions.</t>
  </si>
  <si>
    <t>Not able to converge to a junction temperature in the power calculation due to thermal runaway. Please reduce the ambient temperature or improve cooling solution to your system. Please consult Efinix Application Engineer for more suggestions on the thermal solution.</t>
  </si>
  <si>
    <t>max temp</t>
  </si>
  <si>
    <t>Speed Grade</t>
  </si>
  <si>
    <t>Revised IDDQ
Fixed VCO Frequency range
Fixed custom Effective Theta-JA
Added automotive(Q4) speed grade for F169 and F256</t>
  </si>
  <si>
    <t>PLEASE ANSWER THOSE QUESTIONS THAT DEPEND ON
YOUR DEVICE FEATURES BEFORE RUNNING THE MACRO.</t>
  </si>
  <si>
    <t>Input</t>
  </si>
  <si>
    <t>ENTER YOUR FIXED VALUES FOR THE COMING VARIABLES</t>
  </si>
  <si>
    <t>Max Clk Frequency</t>
  </si>
  <si>
    <t>Step Clk Frequency</t>
  </si>
  <si>
    <t>Max LUTs</t>
  </si>
  <si>
    <t>Step LUTs</t>
  </si>
  <si>
    <t>Max FF</t>
  </si>
  <si>
    <t>Step FF</t>
  </si>
  <si>
    <t>Max Memory Blocks</t>
  </si>
  <si>
    <t>Temperature</t>
  </si>
  <si>
    <t>Step Memory Blocks</t>
  </si>
  <si>
    <t>Clock Frequency</t>
  </si>
  <si>
    <t>Max Multiplier Blocks</t>
  </si>
  <si>
    <t># of LUTs</t>
  </si>
  <si>
    <t>Step Multiplier Blocks</t>
  </si>
  <si>
    <t># of FFs</t>
  </si>
  <si>
    <t>Max Fanout</t>
  </si>
  <si>
    <t>Active Filter (AF)</t>
  </si>
  <si>
    <t>Step Fanout</t>
  </si>
  <si>
    <t># of Mems</t>
  </si>
  <si>
    <t>Max Output Clk Frequency</t>
  </si>
  <si>
    <t># of Multis</t>
  </si>
  <si>
    <t>Step Output Clk Frequency</t>
  </si>
  <si>
    <t># of Fanouts</t>
  </si>
  <si>
    <t>Max VCO Frequency</t>
  </si>
  <si>
    <t>Output Clock Frequency</t>
  </si>
  <si>
    <t>Step VCO Frequency</t>
  </si>
  <si>
    <t>VCO Frequency</t>
  </si>
  <si>
    <t>0.0m/s</t>
  </si>
  <si>
    <t>Max MIPI</t>
  </si>
  <si>
    <t># of MIPIs</t>
  </si>
  <si>
    <t>Step MIPI</t>
  </si>
  <si>
    <t>Mode in MIPI Sheet</t>
  </si>
  <si>
    <t>TX</t>
  </si>
  <si>
    <t>Max Data Rate MIPI</t>
  </si>
  <si>
    <t>Data Rate in MIPI Sheet</t>
  </si>
  <si>
    <t>Step Data Rate MIPI</t>
  </si>
  <si>
    <t>Percentage of HS Mode</t>
  </si>
  <si>
    <t>Max Percentage HS Mode</t>
  </si>
  <si>
    <t>Step Percentage HS Mode</t>
  </si>
  <si>
    <t>Max Data Rate DDR</t>
  </si>
  <si>
    <t>x256</t>
  </si>
  <si>
    <t>Step Data Rate DDR</t>
  </si>
  <si>
    <t>Data Rate in DDR sheet</t>
  </si>
  <si>
    <t>Max Percentage Read Mode</t>
  </si>
  <si>
    <t>Percentage of Read Mode</t>
  </si>
  <si>
    <t>Step Percentage Read Mode</t>
  </si>
  <si>
    <t>IO Standard</t>
  </si>
  <si>
    <t>Max Input Pins</t>
  </si>
  <si>
    <t>Output Differential, VOD</t>
  </si>
  <si>
    <t>Step Input Pins</t>
  </si>
  <si>
    <t>Drive</t>
  </si>
  <si>
    <t>Max Output Pins</t>
  </si>
  <si>
    <t># of Input pins</t>
  </si>
  <si>
    <t>Step Output Pins</t>
  </si>
  <si>
    <t># of Output pins</t>
  </si>
  <si>
    <t>Max Bidirectional Pins</t>
  </si>
  <si>
    <t># of Bidirectional pins</t>
  </si>
  <si>
    <t>Step Bidirectional Pins</t>
  </si>
  <si>
    <t>Data Rate in IO sheet</t>
  </si>
  <si>
    <t>Max Load</t>
  </si>
  <si>
    <t>Load</t>
  </si>
  <si>
    <t>Step Load</t>
  </si>
  <si>
    <t>Percentage of Output Enable</t>
  </si>
  <si>
    <t>Max Output Enable</t>
  </si>
  <si>
    <t>Step Output Enable</t>
  </si>
  <si>
    <t># of Maximum Combinations</t>
  </si>
  <si>
    <t>x32</t>
  </si>
  <si>
    <t>1.0m/s</t>
  </si>
  <si>
    <t>2.5m/s</t>
  </si>
  <si>
    <t>Updated cell format</t>
  </si>
  <si>
    <t>Q100</t>
  </si>
  <si>
    <t>Static Current (mA) / 1.2</t>
  </si>
  <si>
    <t>SPI FLASH POWER</t>
  </si>
  <si>
    <t>Leakage Current (mA)/1.2</t>
  </si>
  <si>
    <t>Standby Power (mW)</t>
  </si>
  <si>
    <t>Flash</t>
  </si>
  <si>
    <t>Idle</t>
  </si>
  <si>
    <t>Operating</t>
  </si>
  <si>
    <t>SPI Flash State</t>
  </si>
  <si>
    <t>Standby Power is added to Static Power</t>
  </si>
  <si>
    <t>Operating Power (mW)</t>
  </si>
  <si>
    <t>*Note:</t>
  </si>
  <si>
    <t>1. User is required to enable the macro, close and right click the excel file -&gt; Properties -&gt; Unblock under Security -&gt; Reopen the excel.</t>
  </si>
  <si>
    <t>Total Power (mW)*</t>
  </si>
  <si>
    <t>Added Q100 package</t>
  </si>
  <si>
    <t>Added Q100 temperature profile</t>
  </si>
  <si>
    <t>Revised maximum IDDQ for W80, Q100, Q144, F169 and F256 packages</t>
  </si>
  <si>
    <t>T8Q144 maximum current set to 15mA to standardize across all AN20 CP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</si>
</sst>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0.00&quot;mW&quot;"/>
    <numFmt numFmtId="165" formatCode="0.0"/>
    <numFmt numFmtId="166" formatCode="0.00&quot;V&quot;"/>
    <numFmt numFmtId="167" formatCode="0.0&quot;m/s&quot;"/>
    <numFmt numFmtId="168" formatCode="0.0&quot;V LVCMOS&quot;"/>
    <numFmt numFmtId="169" formatCode="0.0&quot;V LVTTL&quot;"/>
    <numFmt numFmtId="170" formatCode="0.0&quot;V LVDS&quot;"/>
    <numFmt numFmtId="171" formatCode="0.000&quot;V&quot;"/>
    <numFmt numFmtId="172" formatCode="0.000"/>
    <numFmt numFmtId="173" formatCode="0.00000000"/>
    <numFmt numFmtId="174" formatCode="0.0000000"/>
    <numFmt numFmtId="175" formatCode="0.0%"/>
  </numFmts>
  <fonts count="23" x14ac:knownFonts="1">
    <font>
      <sz val="11"/>
      <color theme="1"/>
      <name val="Calibri"/>
      <family val="2"/>
      <scheme val="minor"/>
    </font>
    <font>
      <sz val="11"/>
      <color theme="1"/>
      <name val="Calibri"/>
      <family val="2"/>
      <scheme val="minor"/>
    </font>
    <font>
      <b/>
      <sz val="11"/>
      <color theme="1"/>
      <name val="Calibri"/>
      <family val="2"/>
      <scheme val="minor"/>
    </font>
    <font>
      <b/>
      <sz val="20"/>
      <color theme="1"/>
      <name val="Calibri"/>
      <family val="2"/>
      <scheme val="minor"/>
    </font>
    <font>
      <b/>
      <sz val="28"/>
      <color theme="1"/>
      <name val="Calibri"/>
      <family val="2"/>
      <scheme val="minor"/>
    </font>
    <font>
      <sz val="11"/>
      <color rgb="FFFF0000"/>
      <name val="Calibri"/>
      <family val="2"/>
      <scheme val="minor"/>
    </font>
    <font>
      <b/>
      <sz val="16"/>
      <color theme="1"/>
      <name val="Calibri"/>
      <family val="2"/>
      <scheme val="minor"/>
    </font>
    <font>
      <b/>
      <sz val="8"/>
      <color theme="1"/>
      <name val="Calibri"/>
      <family val="2"/>
      <scheme val="minor"/>
    </font>
    <font>
      <b/>
      <sz val="22"/>
      <color theme="1"/>
      <name val="Calibri"/>
      <family val="2"/>
      <scheme val="minor"/>
    </font>
    <font>
      <b/>
      <sz val="18"/>
      <color theme="1"/>
      <name val="Calibri"/>
      <family val="2"/>
      <scheme val="minor"/>
    </font>
    <font>
      <b/>
      <sz val="10.5"/>
      <color rgb="FFFFFFFF"/>
      <name val="Calibri"/>
      <family val="2"/>
    </font>
    <font>
      <sz val="11"/>
      <color rgb="FF000000"/>
      <name val="Calibri"/>
      <family val="2"/>
    </font>
    <font>
      <sz val="18"/>
      <color theme="1"/>
      <name val="Calibri"/>
      <family val="2"/>
      <scheme val="minor"/>
    </font>
    <font>
      <sz val="20"/>
      <color theme="1"/>
      <name val="Calibri"/>
      <family val="2"/>
      <scheme val="minor"/>
    </font>
    <font>
      <b/>
      <sz val="11"/>
      <color theme="1"/>
      <name val="Calibri"/>
      <family val="2"/>
    </font>
    <font>
      <sz val="8"/>
      <name val="Calibri"/>
      <family val="2"/>
      <scheme val="minor"/>
    </font>
    <font>
      <b/>
      <sz val="12"/>
      <color theme="1"/>
      <name val="Calibri"/>
      <family val="2"/>
      <scheme val="minor"/>
    </font>
    <font>
      <b/>
      <sz val="14"/>
      <color theme="5"/>
      <name val="Calibri"/>
      <family val="2"/>
      <scheme val="minor"/>
    </font>
    <font>
      <b/>
      <sz val="11"/>
      <color rgb="FF000000"/>
      <name val="Calibri"/>
      <family val="2"/>
    </font>
    <font>
      <b/>
      <sz val="16"/>
      <name val="Calibri"/>
      <family val="2"/>
      <scheme val="minor"/>
    </font>
    <font>
      <b/>
      <sz val="14"/>
      <color theme="1"/>
      <name val="Calibri"/>
      <family val="2"/>
      <scheme val="minor"/>
    </font>
    <font>
      <sz val="14"/>
      <color theme="1"/>
      <name val="Calibri"/>
      <family val="2"/>
      <scheme val="minor"/>
    </font>
    <font>
      <sz val="11"/>
      <name val="Consolas"/>
      <family val="3"/>
    </font>
  </fonts>
  <fills count="9">
    <fill>
      <patternFill patternType="none"/>
    </fill>
    <fill>
      <patternFill patternType="gray125"/>
    </fill>
    <fill>
      <patternFill patternType="solid">
        <fgColor rgb="FFFFE699"/>
        <bgColor indexed="64"/>
      </patternFill>
    </fill>
    <fill>
      <patternFill patternType="solid">
        <fgColor rgb="FFB4C6E7"/>
        <bgColor indexed="64"/>
      </patternFill>
    </fill>
    <fill>
      <patternFill patternType="solid">
        <fgColor theme="4" tint="0.59999389629810485"/>
        <bgColor indexed="64"/>
      </patternFill>
    </fill>
    <fill>
      <patternFill patternType="solid">
        <fgColor theme="0"/>
        <bgColor indexed="64"/>
      </patternFill>
    </fill>
    <fill>
      <patternFill patternType="solid">
        <fgColor rgb="FFFFFF00"/>
        <bgColor indexed="64"/>
      </patternFill>
    </fill>
    <fill>
      <patternFill patternType="solid">
        <fgColor theme="1"/>
        <bgColor indexed="64"/>
      </patternFill>
    </fill>
    <fill>
      <patternFill patternType="solid">
        <fgColor theme="2" tint="-9.9978637043366805E-2"/>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rgb="FF000000"/>
      </left>
      <right/>
      <top style="thin">
        <color rgb="FF000000"/>
      </top>
      <bottom style="thin">
        <color rgb="FF000000"/>
      </bottom>
      <diagonal/>
    </border>
    <border>
      <left style="thin">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diagonal/>
    </border>
    <border>
      <left/>
      <right style="thin">
        <color rgb="FF000000"/>
      </right>
      <top style="thin">
        <color rgb="FF000000"/>
      </top>
      <bottom style="thin">
        <color rgb="FF00000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rgb="FF000000"/>
      </top>
      <bottom style="thin">
        <color rgb="FF000000"/>
      </bottom>
      <diagonal/>
    </border>
    <border>
      <left style="thin">
        <color rgb="FF000000"/>
      </left>
      <right/>
      <top style="thin">
        <color rgb="FF000000"/>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9" fontId="1" fillId="0" borderId="0" applyFont="0" applyFill="0" applyBorder="0" applyAlignment="0" applyProtection="0"/>
  </cellStyleXfs>
  <cellXfs count="222">
    <xf numFmtId="0" fontId="0" fillId="0" borderId="0" xfId="0"/>
    <xf numFmtId="0" fontId="0" fillId="0" borderId="0" xfId="0" applyProtection="1">
      <protection hidden="1"/>
    </xf>
    <xf numFmtId="0" fontId="5" fillId="0" borderId="0" xfId="0" applyFont="1" applyAlignment="1" applyProtection="1">
      <alignment horizontal="left" vertical="center"/>
      <protection hidden="1"/>
    </xf>
    <xf numFmtId="0" fontId="0" fillId="0" borderId="0" xfId="0" applyAlignment="1" applyProtection="1">
      <alignment horizontal="center" vertical="center"/>
      <protection hidden="1"/>
    </xf>
    <xf numFmtId="0" fontId="0" fillId="0" borderId="0" xfId="0" applyAlignment="1" applyProtection="1">
      <alignment horizontal="center" vertical="top"/>
      <protection hidden="1"/>
    </xf>
    <xf numFmtId="0" fontId="2" fillId="0" borderId="0" xfId="0" applyFont="1" applyAlignment="1" applyProtection="1">
      <alignment horizontal="center" vertical="center"/>
      <protection hidden="1"/>
    </xf>
    <xf numFmtId="2" fontId="0" fillId="0" borderId="7" xfId="0" applyNumberFormat="1" applyBorder="1" applyAlignment="1" applyProtection="1">
      <alignment horizontal="center"/>
      <protection hidden="1"/>
    </xf>
    <xf numFmtId="0" fontId="0" fillId="0" borderId="2" xfId="0" applyBorder="1" applyProtection="1">
      <protection hidden="1"/>
    </xf>
    <xf numFmtId="0" fontId="0" fillId="0" borderId="3" xfId="0" applyBorder="1" applyProtection="1">
      <protection hidden="1"/>
    </xf>
    <xf numFmtId="0" fontId="0" fillId="0" borderId="4" xfId="0" applyBorder="1" applyProtection="1">
      <protection hidden="1"/>
    </xf>
    <xf numFmtId="0" fontId="0" fillId="0" borderId="5" xfId="0" applyBorder="1" applyProtection="1">
      <protection hidden="1"/>
    </xf>
    <xf numFmtId="0" fontId="0" fillId="0" borderId="6" xfId="0" applyBorder="1" applyProtection="1">
      <protection hidden="1"/>
    </xf>
    <xf numFmtId="0" fontId="0" fillId="0" borderId="0" xfId="0" applyAlignment="1" applyProtection="1">
      <alignment horizontal="center"/>
      <protection hidden="1"/>
    </xf>
    <xf numFmtId="167" fontId="0" fillId="0" borderId="0" xfId="0" applyNumberFormat="1" applyProtection="1">
      <protection hidden="1"/>
    </xf>
    <xf numFmtId="168" fontId="0" fillId="0" borderId="0" xfId="0" applyNumberFormat="1" applyProtection="1">
      <protection hidden="1"/>
    </xf>
    <xf numFmtId="169" fontId="0" fillId="0" borderId="0" xfId="0" applyNumberFormat="1" applyProtection="1">
      <protection hidden="1"/>
    </xf>
    <xf numFmtId="170" fontId="0" fillId="0" borderId="0" xfId="0" applyNumberFormat="1" applyProtection="1">
      <protection hidden="1"/>
    </xf>
    <xf numFmtId="0" fontId="3" fillId="0" borderId="0" xfId="0" applyFont="1" applyAlignment="1" applyProtection="1">
      <alignment vertical="center"/>
      <protection hidden="1"/>
    </xf>
    <xf numFmtId="2" fontId="0" fillId="0" borderId="0" xfId="0" applyNumberFormat="1" applyAlignment="1" applyProtection="1">
      <alignment horizontal="center"/>
      <protection hidden="1"/>
    </xf>
    <xf numFmtId="9" fontId="0" fillId="0" borderId="0" xfId="0" applyNumberFormat="1" applyAlignment="1" applyProtection="1">
      <alignment horizontal="center"/>
      <protection hidden="1"/>
    </xf>
    <xf numFmtId="0" fontId="10" fillId="0" borderId="0" xfId="0" applyFont="1" applyAlignment="1">
      <alignment horizontal="center" vertical="center" wrapText="1" readingOrder="1"/>
    </xf>
    <xf numFmtId="0" fontId="11" fillId="0" borderId="0" xfId="0" applyFont="1" applyAlignment="1">
      <alignment horizontal="center" vertical="center" wrapText="1" readingOrder="1"/>
    </xf>
    <xf numFmtId="2" fontId="2" fillId="4" borderId="1" xfId="0" applyNumberFormat="1" applyFont="1" applyFill="1" applyBorder="1" applyAlignment="1" applyProtection="1">
      <alignment horizontal="center"/>
      <protection hidden="1"/>
    </xf>
    <xf numFmtId="2" fontId="0" fillId="0" borderId="0" xfId="0" applyNumberFormat="1" applyProtection="1">
      <protection hidden="1"/>
    </xf>
    <xf numFmtId="2" fontId="0" fillId="0" borderId="0" xfId="0" applyNumberFormat="1" applyAlignment="1" applyProtection="1">
      <alignment horizontal="center" vertical="center"/>
      <protection hidden="1"/>
    </xf>
    <xf numFmtId="0" fontId="0" fillId="0" borderId="0" xfId="0" applyAlignment="1">
      <alignment horizontal="center" vertical="center"/>
    </xf>
    <xf numFmtId="0" fontId="2" fillId="0" borderId="0" xfId="0" applyFont="1" applyAlignment="1">
      <alignment horizontal="center" vertical="center"/>
    </xf>
    <xf numFmtId="0" fontId="13" fillId="0" borderId="0" xfId="0" applyFont="1" applyAlignment="1" applyProtection="1">
      <alignment horizontal="center"/>
      <protection hidden="1"/>
    </xf>
    <xf numFmtId="10" fontId="12" fillId="0" borderId="0" xfId="0" applyNumberFormat="1" applyFont="1" applyAlignment="1" applyProtection="1">
      <alignment horizontal="center"/>
      <protection hidden="1"/>
    </xf>
    <xf numFmtId="0" fontId="2" fillId="4" borderId="1" xfId="0" applyFont="1" applyFill="1" applyBorder="1" applyProtection="1">
      <protection hidden="1"/>
    </xf>
    <xf numFmtId="0" fontId="2" fillId="3" borderId="0" xfId="0" applyFont="1" applyFill="1" applyProtection="1">
      <protection hidden="1"/>
    </xf>
    <xf numFmtId="2" fontId="0" fillId="3" borderId="0" xfId="0" applyNumberFormat="1" applyFill="1" applyAlignment="1" applyProtection="1">
      <alignment horizontal="center"/>
      <protection hidden="1"/>
    </xf>
    <xf numFmtId="0" fontId="2" fillId="0" borderId="0" xfId="0" applyFont="1" applyProtection="1">
      <protection hidden="1"/>
    </xf>
    <xf numFmtId="2" fontId="2" fillId="0" borderId="0" xfId="0" applyNumberFormat="1" applyFont="1" applyAlignment="1" applyProtection="1">
      <alignment horizontal="left"/>
      <protection hidden="1"/>
    </xf>
    <xf numFmtId="0" fontId="2" fillId="3" borderId="1" xfId="0" applyFont="1" applyFill="1" applyBorder="1" applyProtection="1">
      <protection hidden="1"/>
    </xf>
    <xf numFmtId="0" fontId="2" fillId="3" borderId="1" xfId="0" applyFont="1" applyFill="1" applyBorder="1" applyAlignment="1" applyProtection="1">
      <alignment horizontal="center"/>
      <protection hidden="1"/>
    </xf>
    <xf numFmtId="2" fontId="0" fillId="3" borderId="1" xfId="0" applyNumberFormat="1" applyFill="1" applyBorder="1" applyAlignment="1" applyProtection="1">
      <alignment horizontal="center"/>
      <protection hidden="1"/>
    </xf>
    <xf numFmtId="0" fontId="2" fillId="4" borderId="1" xfId="0" applyFont="1" applyFill="1" applyBorder="1" applyAlignment="1" applyProtection="1">
      <alignment horizontal="left"/>
      <protection hidden="1"/>
    </xf>
    <xf numFmtId="0" fontId="9" fillId="3" borderId="1" xfId="0" applyFont="1" applyFill="1" applyBorder="1" applyProtection="1">
      <protection hidden="1"/>
    </xf>
    <xf numFmtId="2" fontId="9" fillId="6" borderId="1" xfId="0" applyNumberFormat="1" applyFont="1" applyFill="1" applyBorder="1" applyAlignment="1" applyProtection="1">
      <alignment horizontal="center"/>
      <protection hidden="1"/>
    </xf>
    <xf numFmtId="0" fontId="8" fillId="3" borderId="1" xfId="0" applyFont="1" applyFill="1" applyBorder="1" applyProtection="1">
      <protection hidden="1"/>
    </xf>
    <xf numFmtId="2" fontId="3" fillId="6" borderId="1" xfId="0" applyNumberFormat="1" applyFont="1" applyFill="1" applyBorder="1" applyAlignment="1" applyProtection="1">
      <alignment horizontal="center"/>
      <protection hidden="1"/>
    </xf>
    <xf numFmtId="0" fontId="5" fillId="0" borderId="0" xfId="0" applyFont="1" applyProtection="1">
      <protection hidden="1"/>
    </xf>
    <xf numFmtId="0" fontId="3" fillId="0" borderId="0" xfId="0" applyFont="1" applyAlignment="1" applyProtection="1">
      <alignment horizontal="center" vertical="center"/>
      <protection hidden="1"/>
    </xf>
    <xf numFmtId="164" fontId="6" fillId="0" borderId="0" xfId="0" applyNumberFormat="1" applyFont="1" applyAlignment="1" applyProtection="1">
      <alignment horizontal="center" vertical="center"/>
      <protection hidden="1"/>
    </xf>
    <xf numFmtId="164" fontId="6" fillId="0" borderId="0" xfId="0" applyNumberFormat="1" applyFont="1" applyAlignment="1" applyProtection="1">
      <alignment horizontal="center"/>
      <protection hidden="1"/>
    </xf>
    <xf numFmtId="0" fontId="0" fillId="0" borderId="3" xfId="0" applyBorder="1"/>
    <xf numFmtId="0" fontId="0" fillId="0" borderId="1" xfId="0" applyBorder="1" applyAlignment="1">
      <alignment horizontal="center" vertical="center"/>
    </xf>
    <xf numFmtId="166" fontId="0" fillId="0" borderId="0" xfId="0" applyNumberFormat="1" applyAlignment="1" applyProtection="1">
      <alignment horizontal="center"/>
      <protection hidden="1"/>
    </xf>
    <xf numFmtId="2" fontId="0" fillId="4" borderId="1" xfId="0" applyNumberFormat="1" applyFill="1" applyBorder="1" applyAlignment="1" applyProtection="1">
      <alignment horizontal="center"/>
      <protection hidden="1"/>
    </xf>
    <xf numFmtId="0" fontId="14" fillId="4" borderId="1" xfId="0" applyFont="1" applyFill="1" applyBorder="1" applyProtection="1">
      <protection hidden="1"/>
    </xf>
    <xf numFmtId="0" fontId="0" fillId="0" borderId="1" xfId="0" applyBorder="1" applyAlignment="1">
      <alignment horizontal="center"/>
    </xf>
    <xf numFmtId="0" fontId="2" fillId="0" borderId="1" xfId="0" applyFont="1" applyBorder="1" applyAlignment="1">
      <alignment horizontal="center"/>
    </xf>
    <xf numFmtId="0" fontId="3" fillId="0" borderId="0" xfId="0" applyFont="1" applyAlignment="1">
      <alignment horizontal="center" vertical="center"/>
    </xf>
    <xf numFmtId="164" fontId="6" fillId="0" borderId="0" xfId="0" applyNumberFormat="1" applyFont="1" applyAlignment="1">
      <alignment horizontal="center"/>
    </xf>
    <xf numFmtId="0" fontId="2" fillId="0" borderId="1" xfId="0" applyFont="1" applyBorder="1" applyAlignment="1">
      <alignment horizontal="center" vertical="center"/>
    </xf>
    <xf numFmtId="172" fontId="0" fillId="0" borderId="0" xfId="0" applyNumberFormat="1" applyAlignment="1">
      <alignment horizontal="center"/>
    </xf>
    <xf numFmtId="172" fontId="0" fillId="0" borderId="1" xfId="0" applyNumberFormat="1" applyBorder="1" applyAlignment="1">
      <alignment horizontal="center"/>
    </xf>
    <xf numFmtId="0" fontId="0" fillId="0" borderId="0" xfId="0" applyAlignment="1" applyProtection="1">
      <alignment wrapText="1"/>
      <protection hidden="1"/>
    </xf>
    <xf numFmtId="0" fontId="2" fillId="0" borderId="0" xfId="0" applyFont="1" applyAlignment="1" applyProtection="1">
      <alignment horizontal="center"/>
      <protection hidden="1"/>
    </xf>
    <xf numFmtId="0" fontId="2" fillId="4" borderId="1" xfId="0" applyFont="1" applyFill="1" applyBorder="1" applyAlignment="1" applyProtection="1">
      <alignment horizontal="left" vertical="center"/>
      <protection hidden="1"/>
    </xf>
    <xf numFmtId="0" fontId="0" fillId="0" borderId="0" xfId="0" applyAlignment="1">
      <alignment horizontal="center"/>
    </xf>
    <xf numFmtId="0" fontId="2" fillId="0" borderId="0" xfId="0" applyFont="1" applyAlignment="1">
      <alignment horizontal="center"/>
    </xf>
    <xf numFmtId="0" fontId="2" fillId="0" borderId="27" xfId="0" applyFont="1" applyBorder="1" applyProtection="1">
      <protection hidden="1"/>
    </xf>
    <xf numFmtId="0" fontId="0" fillId="0" borderId="0" xfId="0" applyAlignment="1" applyProtection="1">
      <alignment vertical="top"/>
      <protection hidden="1"/>
    </xf>
    <xf numFmtId="0" fontId="17" fillId="0" borderId="11" xfId="0" applyFont="1" applyBorder="1" applyProtection="1">
      <protection hidden="1"/>
    </xf>
    <xf numFmtId="2" fontId="2" fillId="0" borderId="27" xfId="0" applyNumberFormat="1" applyFont="1" applyBorder="1" applyAlignment="1" applyProtection="1">
      <alignment horizontal="center"/>
      <protection hidden="1"/>
    </xf>
    <xf numFmtId="0" fontId="2" fillId="0" borderId="28" xfId="0" applyFont="1" applyBorder="1" applyProtection="1">
      <protection hidden="1"/>
    </xf>
    <xf numFmtId="0" fontId="18" fillId="3" borderId="1" xfId="0" applyFont="1" applyFill="1" applyBorder="1" applyProtection="1">
      <protection hidden="1"/>
    </xf>
    <xf numFmtId="0" fontId="0" fillId="0" borderId="2" xfId="0" applyBorder="1"/>
    <xf numFmtId="0" fontId="0" fillId="0" borderId="0" xfId="0" applyAlignment="1">
      <alignment horizontal="left"/>
    </xf>
    <xf numFmtId="0" fontId="0" fillId="0" borderId="1" xfId="0" applyBorder="1" applyAlignment="1" applyProtection="1">
      <alignment horizontal="center"/>
      <protection hidden="1"/>
    </xf>
    <xf numFmtId="0" fontId="2" fillId="0" borderId="0" xfId="0" applyFont="1" applyAlignment="1" applyProtection="1">
      <alignment horizontal="center" vertical="top" wrapText="1"/>
      <protection hidden="1"/>
    </xf>
    <xf numFmtId="0" fontId="2" fillId="0" borderId="13" xfId="0" applyFont="1" applyBorder="1" applyAlignment="1" applyProtection="1">
      <alignment horizontal="center" vertical="top" wrapText="1"/>
      <protection hidden="1"/>
    </xf>
    <xf numFmtId="172" fontId="0" fillId="0" borderId="1" xfId="0" applyNumberFormat="1" applyBorder="1" applyAlignment="1" applyProtection="1">
      <alignment horizontal="center"/>
      <protection hidden="1"/>
    </xf>
    <xf numFmtId="0" fontId="0" fillId="0" borderId="1" xfId="0" applyBorder="1" applyAlignment="1" applyProtection="1">
      <alignment horizontal="center" vertical="center"/>
      <protection locked="0" hidden="1"/>
    </xf>
    <xf numFmtId="0" fontId="0" fillId="0" borderId="1" xfId="0" applyBorder="1" applyAlignment="1" applyProtection="1">
      <alignment horizontal="center" vertical="center" wrapText="1"/>
      <protection locked="0" hidden="1"/>
    </xf>
    <xf numFmtId="0" fontId="2" fillId="0" borderId="1" xfId="0" applyFont="1" applyBorder="1" applyAlignment="1" applyProtection="1">
      <alignment horizontal="center"/>
      <protection hidden="1"/>
    </xf>
    <xf numFmtId="165" fontId="0" fillId="0" borderId="1" xfId="0" applyNumberFormat="1" applyBorder="1" applyAlignment="1" applyProtection="1">
      <alignment horizontal="center" vertical="center"/>
      <protection hidden="1"/>
    </xf>
    <xf numFmtId="0" fontId="0" fillId="0" borderId="1" xfId="0" applyBorder="1" applyAlignment="1" applyProtection="1">
      <alignment horizontal="center" vertical="center"/>
      <protection hidden="1"/>
    </xf>
    <xf numFmtId="0" fontId="0" fillId="0" borderId="1" xfId="0" applyBorder="1" applyAlignment="1" applyProtection="1">
      <alignment horizontal="center"/>
      <protection locked="0" hidden="1"/>
    </xf>
    <xf numFmtId="10" fontId="0" fillId="0" borderId="1" xfId="0" applyNumberFormat="1" applyBorder="1" applyAlignment="1" applyProtection="1">
      <alignment horizontal="center"/>
      <protection locked="0" hidden="1"/>
    </xf>
    <xf numFmtId="0" fontId="2" fillId="0" borderId="0" xfId="0" applyFont="1" applyAlignment="1" applyProtection="1">
      <alignment horizontal="center" vertical="center" wrapText="1"/>
      <protection hidden="1"/>
    </xf>
    <xf numFmtId="0" fontId="2" fillId="0" borderId="0" xfId="0" applyFont="1" applyAlignment="1" applyProtection="1">
      <alignment horizontal="center" wrapText="1"/>
      <protection hidden="1"/>
    </xf>
    <xf numFmtId="0" fontId="0" fillId="7" borderId="1" xfId="0" applyFill="1" applyBorder="1" applyAlignment="1" applyProtection="1">
      <alignment horizontal="center"/>
      <protection locked="0" hidden="1"/>
    </xf>
    <xf numFmtId="49" fontId="0" fillId="5" borderId="12" xfId="0" applyNumberFormat="1" applyFill="1" applyBorder="1" applyAlignment="1" applyProtection="1">
      <alignment horizontal="center"/>
      <protection locked="0" hidden="1"/>
    </xf>
    <xf numFmtId="0" fontId="0" fillId="0" borderId="18" xfId="0" applyBorder="1" applyAlignment="1" applyProtection="1">
      <alignment horizontal="center"/>
      <protection locked="0" hidden="1"/>
    </xf>
    <xf numFmtId="0" fontId="0" fillId="0" borderId="9" xfId="0" applyBorder="1" applyAlignment="1" applyProtection="1">
      <alignment horizontal="center"/>
      <protection locked="0" hidden="1"/>
    </xf>
    <xf numFmtId="0" fontId="0" fillId="0" borderId="1" xfId="0" applyBorder="1" applyProtection="1">
      <protection locked="0" hidden="1"/>
    </xf>
    <xf numFmtId="0" fontId="0" fillId="7" borderId="1" xfId="0" applyFill="1" applyBorder="1" applyAlignment="1" applyProtection="1">
      <alignment horizontal="center" vertical="center" wrapText="1"/>
      <protection locked="0" hidden="1"/>
    </xf>
    <xf numFmtId="0" fontId="0" fillId="0" borderId="0" xfId="0" quotePrefix="1" applyProtection="1">
      <protection hidden="1"/>
    </xf>
    <xf numFmtId="0" fontId="0" fillId="0" borderId="10" xfId="0" applyBorder="1" applyAlignment="1" applyProtection="1">
      <alignment horizontal="center" vertical="center" wrapText="1"/>
      <protection locked="0" hidden="1"/>
    </xf>
    <xf numFmtId="0" fontId="0" fillId="4" borderId="1" xfId="0" applyFill="1" applyBorder="1" applyAlignment="1" applyProtection="1">
      <alignment horizontal="center"/>
      <protection hidden="1"/>
    </xf>
    <xf numFmtId="0" fontId="0" fillId="4" borderId="21" xfId="0" applyFill="1" applyBorder="1" applyProtection="1">
      <protection hidden="1"/>
    </xf>
    <xf numFmtId="0" fontId="0" fillId="4" borderId="22" xfId="0" applyFill="1" applyBorder="1" applyAlignment="1" applyProtection="1">
      <alignment horizontal="center"/>
      <protection hidden="1"/>
    </xf>
    <xf numFmtId="0" fontId="0" fillId="4" borderId="23" xfId="0" applyFill="1" applyBorder="1" applyProtection="1">
      <protection hidden="1"/>
    </xf>
    <xf numFmtId="0" fontId="0" fillId="4" borderId="24" xfId="0" applyFill="1" applyBorder="1" applyAlignment="1" applyProtection="1">
      <alignment horizontal="center"/>
      <protection hidden="1"/>
    </xf>
    <xf numFmtId="0" fontId="0" fillId="4" borderId="25" xfId="0" applyFill="1" applyBorder="1" applyAlignment="1" applyProtection="1">
      <alignment horizontal="center"/>
      <protection hidden="1"/>
    </xf>
    <xf numFmtId="173" fontId="0" fillId="4" borderId="1" xfId="0" applyNumberFormat="1" applyFill="1" applyBorder="1" applyAlignment="1" applyProtection="1">
      <alignment horizontal="center"/>
      <protection hidden="1"/>
    </xf>
    <xf numFmtId="174" fontId="0" fillId="4" borderId="25" xfId="0" applyNumberFormat="1" applyFill="1" applyBorder="1" applyAlignment="1" applyProtection="1">
      <alignment horizontal="center"/>
      <protection hidden="1"/>
    </xf>
    <xf numFmtId="0" fontId="0" fillId="4" borderId="26" xfId="0" applyFill="1" applyBorder="1" applyAlignment="1" applyProtection="1">
      <alignment horizontal="center"/>
      <protection hidden="1"/>
    </xf>
    <xf numFmtId="0" fontId="2" fillId="4" borderId="1" xfId="0" applyFont="1" applyFill="1" applyBorder="1" applyAlignment="1" applyProtection="1">
      <alignment horizontal="center"/>
      <protection hidden="1"/>
    </xf>
    <xf numFmtId="0" fontId="6" fillId="4" borderId="1" xfId="0" applyFont="1" applyFill="1" applyBorder="1" applyAlignment="1" applyProtection="1">
      <alignment horizontal="center" vertical="center"/>
      <protection hidden="1"/>
    </xf>
    <xf numFmtId="166" fontId="6" fillId="4" borderId="1" xfId="0" applyNumberFormat="1" applyFont="1" applyFill="1" applyBorder="1" applyAlignment="1" applyProtection="1">
      <alignment horizontal="center" vertical="center"/>
      <protection hidden="1"/>
    </xf>
    <xf numFmtId="164" fontId="6" fillId="4" borderId="1" xfId="0" applyNumberFormat="1" applyFont="1" applyFill="1" applyBorder="1" applyAlignment="1" applyProtection="1">
      <alignment horizontal="center"/>
      <protection hidden="1"/>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top"/>
      <protection hidden="1"/>
    </xf>
    <xf numFmtId="2" fontId="0" fillId="4" borderId="1" xfId="0" applyNumberFormat="1" applyFill="1" applyBorder="1" applyAlignment="1" applyProtection="1">
      <alignment horizontal="center" vertical="center"/>
      <protection hidden="1"/>
    </xf>
    <xf numFmtId="0" fontId="0" fillId="4" borderId="0" xfId="0" applyFill="1" applyProtection="1">
      <protection hidden="1"/>
    </xf>
    <xf numFmtId="164" fontId="6" fillId="4" borderId="1" xfId="0" applyNumberFormat="1" applyFont="1" applyFill="1" applyBorder="1" applyAlignment="1" applyProtection="1">
      <alignment horizontal="center" vertical="center"/>
      <protection hidden="1"/>
    </xf>
    <xf numFmtId="0" fontId="2" fillId="4" borderId="11" xfId="0" applyFont="1" applyFill="1" applyBorder="1" applyAlignment="1" applyProtection="1">
      <alignment horizontal="center" vertical="center"/>
      <protection hidden="1"/>
    </xf>
    <xf numFmtId="0" fontId="2" fillId="4" borderId="7" xfId="0" applyFont="1" applyFill="1" applyBorder="1" applyAlignment="1" applyProtection="1">
      <alignment horizontal="center" vertical="center"/>
      <protection hidden="1"/>
    </xf>
    <xf numFmtId="0" fontId="2" fillId="4" borderId="9" xfId="0" applyFont="1" applyFill="1" applyBorder="1" applyAlignment="1" applyProtection="1">
      <alignment horizontal="center" vertical="center"/>
      <protection hidden="1"/>
    </xf>
    <xf numFmtId="0" fontId="2" fillId="4" borderId="10"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top" wrapText="1"/>
      <protection hidden="1"/>
    </xf>
    <xf numFmtId="171" fontId="6" fillId="4" borderId="1" xfId="0" applyNumberFormat="1" applyFont="1" applyFill="1" applyBorder="1" applyAlignment="1" applyProtection="1">
      <alignment horizontal="center" vertical="center"/>
      <protection hidden="1"/>
    </xf>
    <xf numFmtId="10" fontId="0" fillId="4" borderId="1" xfId="0" applyNumberFormat="1" applyFill="1" applyBorder="1" applyAlignment="1" applyProtection="1">
      <alignment horizontal="center"/>
      <protection hidden="1"/>
    </xf>
    <xf numFmtId="0" fontId="0" fillId="0" borderId="1" xfId="0" applyBorder="1" applyAlignment="1" applyProtection="1">
      <alignment horizontal="left" vertical="center" wrapText="1"/>
      <protection hidden="1"/>
    </xf>
    <xf numFmtId="0" fontId="0" fillId="0" borderId="1" xfId="0" applyBorder="1" applyAlignment="1" applyProtection="1">
      <alignment horizontal="left" vertical="center"/>
      <protection hidden="1"/>
    </xf>
    <xf numFmtId="0" fontId="0" fillId="0" borderId="1" xfId="0" applyBorder="1" applyProtection="1">
      <protection hidden="1"/>
    </xf>
    <xf numFmtId="15" fontId="0" fillId="0" borderId="1" xfId="0" applyNumberFormat="1" applyBorder="1" applyAlignment="1" applyProtection="1">
      <alignment horizontal="center"/>
      <protection hidden="1"/>
    </xf>
    <xf numFmtId="15" fontId="0" fillId="0" borderId="1" xfId="0" applyNumberFormat="1" applyBorder="1" applyAlignment="1" applyProtection="1">
      <alignment horizontal="center" vertical="center"/>
      <protection hidden="1"/>
    </xf>
    <xf numFmtId="0" fontId="0" fillId="0" borderId="0" xfId="0" applyAlignment="1" applyProtection="1">
      <alignment horizontal="left" vertical="top" wrapText="1"/>
      <protection hidden="1"/>
    </xf>
    <xf numFmtId="0" fontId="0" fillId="0" borderId="0" xfId="0" applyAlignment="1" applyProtection="1">
      <alignment horizontal="left" wrapText="1"/>
      <protection hidden="1"/>
    </xf>
    <xf numFmtId="0" fontId="0" fillId="0" borderId="0" xfId="0" applyAlignment="1" applyProtection="1">
      <alignment vertical="center"/>
      <protection hidden="1"/>
    </xf>
    <xf numFmtId="0" fontId="0" fillId="0" borderId="1" xfId="0" applyBorder="1" applyAlignment="1">
      <alignment horizontal="left" vertical="center" wrapText="1"/>
    </xf>
    <xf numFmtId="10" fontId="0" fillId="0" borderId="7" xfId="0" applyNumberFormat="1" applyBorder="1" applyAlignment="1" applyProtection="1">
      <alignment horizontal="center"/>
      <protection locked="0" hidden="1"/>
    </xf>
    <xf numFmtId="10" fontId="0" fillId="0" borderId="12" xfId="1" applyNumberFormat="1" applyFont="1" applyBorder="1" applyAlignment="1" applyProtection="1">
      <alignment horizontal="center"/>
      <protection locked="0" hidden="1"/>
    </xf>
    <xf numFmtId="10" fontId="0" fillId="0" borderId="1" xfId="1" applyNumberFormat="1" applyFont="1" applyBorder="1" applyAlignment="1" applyProtection="1">
      <alignment horizontal="center"/>
      <protection locked="0" hidden="1"/>
    </xf>
    <xf numFmtId="0" fontId="0" fillId="0" borderId="32" xfId="0" applyBorder="1" applyAlignment="1" applyProtection="1">
      <alignment horizontal="center"/>
      <protection locked="0" hidden="1"/>
    </xf>
    <xf numFmtId="49" fontId="0" fillId="5" borderId="33" xfId="0" applyNumberFormat="1" applyFill="1" applyBorder="1" applyAlignment="1" applyProtection="1">
      <alignment horizontal="center"/>
      <protection locked="0" hidden="1"/>
    </xf>
    <xf numFmtId="49" fontId="0" fillId="5" borderId="1" xfId="0" applyNumberFormat="1" applyFill="1" applyBorder="1" applyAlignment="1" applyProtection="1">
      <alignment horizontal="center"/>
      <protection locked="0" hidden="1"/>
    </xf>
    <xf numFmtId="10" fontId="0" fillId="0" borderId="1" xfId="1" applyNumberFormat="1" applyFont="1" applyBorder="1" applyAlignment="1" applyProtection="1">
      <alignment horizontal="center" vertical="center"/>
      <protection locked="0" hidden="1"/>
    </xf>
    <xf numFmtId="10" fontId="0" fillId="0" borderId="0" xfId="0" applyNumberFormat="1" applyAlignment="1">
      <alignment horizontal="center"/>
    </xf>
    <xf numFmtId="0" fontId="0" fillId="0" borderId="0" xfId="0" applyAlignment="1" applyProtection="1">
      <alignment horizontal="right"/>
      <protection hidden="1"/>
    </xf>
    <xf numFmtId="0" fontId="7" fillId="0" borderId="1" xfId="0" applyFont="1" applyBorder="1" applyAlignment="1">
      <alignment horizontal="center" vertical="center" wrapText="1"/>
    </xf>
    <xf numFmtId="0" fontId="7" fillId="0" borderId="1" xfId="0" applyFont="1" applyBorder="1" applyAlignment="1">
      <alignment horizontal="center" vertical="center"/>
    </xf>
    <xf numFmtId="0" fontId="0" fillId="0" borderId="8" xfId="0" applyBorder="1"/>
    <xf numFmtId="0" fontId="0" fillId="0" borderId="1" xfId="0" applyBorder="1"/>
    <xf numFmtId="0" fontId="2" fillId="0" borderId="1" xfId="0" applyFont="1" applyBorder="1" applyAlignment="1" applyProtection="1">
      <alignment horizontal="center" vertical="center"/>
      <protection hidden="1"/>
    </xf>
    <xf numFmtId="0" fontId="0" fillId="0" borderId="10" xfId="0" applyBorder="1" applyAlignment="1" applyProtection="1">
      <alignment horizontal="center"/>
      <protection hidden="1"/>
    </xf>
    <xf numFmtId="0" fontId="2" fillId="0" borderId="27" xfId="0" applyFont="1" applyBorder="1" applyAlignment="1" applyProtection="1">
      <alignment horizontal="center" vertical="center"/>
      <protection hidden="1"/>
    </xf>
    <xf numFmtId="0" fontId="0" fillId="8" borderId="1" xfId="0" applyFill="1" applyBorder="1" applyProtection="1">
      <protection locked="0" hidden="1"/>
    </xf>
    <xf numFmtId="0" fontId="0" fillId="0" borderId="0" xfId="0" applyProtection="1">
      <protection locked="0" hidden="1"/>
    </xf>
    <xf numFmtId="0" fontId="0" fillId="0" borderId="1" xfId="0" applyBorder="1" applyAlignment="1" applyProtection="1">
      <alignment horizontal="right"/>
      <protection locked="0" hidden="1"/>
    </xf>
    <xf numFmtId="0" fontId="0" fillId="0" borderId="1" xfId="0" applyBorder="1" applyAlignment="1" applyProtection="1">
      <alignment horizontal="right" vertical="center"/>
      <protection locked="0" hidden="1"/>
    </xf>
    <xf numFmtId="167" fontId="0" fillId="0" borderId="1" xfId="0" applyNumberFormat="1" applyBorder="1" applyAlignment="1" applyProtection="1">
      <alignment horizontal="right"/>
      <protection locked="0" hidden="1"/>
    </xf>
    <xf numFmtId="0" fontId="0" fillId="0" borderId="0" xfId="0" applyAlignment="1" applyProtection="1">
      <alignment horizontal="right"/>
      <protection locked="0" hidden="1"/>
    </xf>
    <xf numFmtId="175" fontId="0" fillId="0" borderId="1" xfId="1" applyNumberFormat="1" applyFont="1" applyBorder="1" applyProtection="1">
      <protection locked="0" hidden="1"/>
    </xf>
    <xf numFmtId="175" fontId="0" fillId="0" borderId="1" xfId="1" applyNumberFormat="1" applyFont="1" applyBorder="1" applyAlignment="1" applyProtection="1">
      <alignment horizontal="right"/>
      <protection locked="0" hidden="1"/>
    </xf>
    <xf numFmtId="10" fontId="0" fillId="0" borderId="1" xfId="1" applyNumberFormat="1" applyFont="1" applyBorder="1" applyAlignment="1" applyProtection="1">
      <alignment horizontal="right"/>
      <protection locked="0" hidden="1"/>
    </xf>
    <xf numFmtId="0" fontId="0" fillId="0" borderId="1" xfId="0" applyBorder="1" applyAlignment="1" applyProtection="1">
      <alignment horizontal="left"/>
      <protection hidden="1"/>
    </xf>
    <xf numFmtId="2" fontId="0" fillId="4" borderId="1" xfId="0" applyNumberFormat="1" applyFill="1" applyBorder="1" applyAlignment="1">
      <alignment horizontal="center"/>
    </xf>
    <xf numFmtId="0" fontId="20" fillId="0" borderId="0" xfId="0" applyFont="1"/>
    <xf numFmtId="0" fontId="21" fillId="0" borderId="0" xfId="0" applyFont="1"/>
    <xf numFmtId="15" fontId="0" fillId="0" borderId="1" xfId="0" applyNumberFormat="1" applyBorder="1" applyAlignment="1">
      <alignment horizontal="center"/>
    </xf>
    <xf numFmtId="15" fontId="0" fillId="0" borderId="1" xfId="0" applyNumberFormat="1" applyBorder="1" applyAlignment="1">
      <alignment horizontal="center" vertical="center"/>
    </xf>
    <xf numFmtId="0" fontId="19" fillId="0" borderId="0" xfId="0" applyFont="1" applyAlignment="1" applyProtection="1">
      <alignment vertical="center"/>
      <protection hidden="1"/>
    </xf>
    <xf numFmtId="0" fontId="0" fillId="4" borderId="34" xfId="0" applyFill="1" applyBorder="1" applyAlignment="1" applyProtection="1">
      <alignment horizontal="center"/>
      <protection hidden="1"/>
    </xf>
    <xf numFmtId="173" fontId="0" fillId="4" borderId="34" xfId="0" applyNumberFormat="1" applyFill="1" applyBorder="1" applyAlignment="1" applyProtection="1">
      <alignment horizontal="center"/>
      <protection hidden="1"/>
    </xf>
    <xf numFmtId="174" fontId="0" fillId="4" borderId="35" xfId="0" applyNumberFormat="1" applyFill="1" applyBorder="1" applyAlignment="1" applyProtection="1">
      <alignment horizontal="center"/>
      <protection hidden="1"/>
    </xf>
    <xf numFmtId="15" fontId="0" fillId="0" borderId="10" xfId="0" applyNumberFormat="1" applyBorder="1" applyAlignment="1">
      <alignment horizontal="center" vertical="center"/>
    </xf>
    <xf numFmtId="165" fontId="0" fillId="0" borderId="10" xfId="0" applyNumberFormat="1" applyBorder="1" applyAlignment="1" applyProtection="1">
      <alignment horizontal="center" vertical="center"/>
      <protection hidden="1"/>
    </xf>
    <xf numFmtId="0" fontId="0" fillId="0" borderId="10" xfId="0" applyBorder="1"/>
    <xf numFmtId="0" fontId="0" fillId="0" borderId="1" xfId="0" applyBorder="1" applyAlignment="1">
      <alignment vertical="center"/>
    </xf>
    <xf numFmtId="0" fontId="22" fillId="0" borderId="0" xfId="0" applyFont="1" applyAlignment="1">
      <alignment vertical="center"/>
    </xf>
    <xf numFmtId="0" fontId="0" fillId="0" borderId="1" xfId="0" applyBorder="1" applyAlignment="1" applyProtection="1">
      <alignment horizontal="center"/>
      <protection locked="0" hidden="1"/>
    </xf>
    <xf numFmtId="167" fontId="0" fillId="0" borderId="8" xfId="0" applyNumberFormat="1" applyBorder="1" applyAlignment="1" applyProtection="1">
      <alignment horizontal="center"/>
      <protection locked="0" hidden="1"/>
    </xf>
    <xf numFmtId="167" fontId="0" fillId="0" borderId="9" xfId="0" applyNumberFormat="1" applyBorder="1" applyAlignment="1" applyProtection="1">
      <alignment horizontal="center"/>
      <protection locked="0" hidden="1"/>
    </xf>
    <xf numFmtId="0" fontId="0" fillId="0" borderId="8" xfId="0" applyBorder="1" applyAlignment="1" applyProtection="1">
      <alignment horizontal="center"/>
      <protection locked="0" hidden="1"/>
    </xf>
    <xf numFmtId="0" fontId="0" fillId="0" borderId="9" xfId="0" applyBorder="1" applyAlignment="1" applyProtection="1">
      <alignment horizontal="center"/>
      <protection locked="0" hidden="1"/>
    </xf>
    <xf numFmtId="0" fontId="4" fillId="2" borderId="14" xfId="0" applyFont="1" applyFill="1" applyBorder="1" applyAlignment="1" applyProtection="1">
      <alignment horizontal="center" vertical="center"/>
      <protection hidden="1"/>
    </xf>
    <xf numFmtId="0" fontId="4" fillId="2" borderId="15" xfId="0" applyFont="1" applyFill="1" applyBorder="1" applyAlignment="1" applyProtection="1">
      <alignment horizontal="center" vertical="center"/>
      <protection hidden="1"/>
    </xf>
    <xf numFmtId="0" fontId="4" fillId="2" borderId="16" xfId="0" applyFont="1" applyFill="1" applyBorder="1" applyAlignment="1" applyProtection="1">
      <alignment horizontal="center" vertical="center"/>
      <protection hidden="1"/>
    </xf>
    <xf numFmtId="0" fontId="2" fillId="4" borderId="1" xfId="0" applyFont="1" applyFill="1" applyBorder="1" applyAlignment="1" applyProtection="1">
      <alignment horizontal="center"/>
      <protection hidden="1"/>
    </xf>
    <xf numFmtId="0" fontId="0" fillId="3" borderId="1" xfId="0" applyFill="1" applyBorder="1" applyAlignment="1" applyProtection="1">
      <alignment horizontal="center"/>
      <protection hidden="1"/>
    </xf>
    <xf numFmtId="2" fontId="0" fillId="4" borderId="1" xfId="0" applyNumberFormat="1" applyFill="1" applyBorder="1" applyAlignment="1" applyProtection="1">
      <alignment horizontal="center"/>
      <protection hidden="1"/>
    </xf>
    <xf numFmtId="10" fontId="0" fillId="0" borderId="1" xfId="0" applyNumberFormat="1" applyBorder="1" applyAlignment="1" applyProtection="1">
      <alignment horizontal="center"/>
      <protection locked="0" hidden="1"/>
    </xf>
    <xf numFmtId="2" fontId="0" fillId="0" borderId="1" xfId="0" applyNumberFormat="1" applyBorder="1" applyAlignment="1" applyProtection="1">
      <alignment horizontal="center"/>
      <protection locked="0" hidden="1"/>
    </xf>
    <xf numFmtId="167" fontId="0" fillId="0" borderId="1" xfId="0" applyNumberFormat="1" applyBorder="1" applyAlignment="1" applyProtection="1">
      <alignment horizontal="center"/>
      <protection locked="0" hidden="1"/>
    </xf>
    <xf numFmtId="0" fontId="0" fillId="0" borderId="1" xfId="0" applyBorder="1" applyAlignment="1" applyProtection="1">
      <alignment horizontal="center" vertical="center"/>
      <protection locked="0" hidden="1"/>
    </xf>
    <xf numFmtId="0" fontId="0" fillId="0" borderId="8" xfId="0" applyBorder="1" applyAlignment="1" applyProtection="1">
      <alignment horizontal="center" vertical="center"/>
      <protection locked="0" hidden="1"/>
    </xf>
    <xf numFmtId="0" fontId="0" fillId="0" borderId="9" xfId="0" applyBorder="1" applyAlignment="1" applyProtection="1">
      <alignment horizontal="center" vertical="center"/>
      <protection locked="0" hidden="1"/>
    </xf>
    <xf numFmtId="0" fontId="17" fillId="0" borderId="29" xfId="0" applyFont="1" applyBorder="1" applyAlignment="1" applyProtection="1">
      <alignment horizontal="left" vertical="center" wrapText="1"/>
      <protection hidden="1"/>
    </xf>
    <xf numFmtId="0" fontId="17" fillId="0" borderId="30" xfId="0" applyFont="1" applyBorder="1" applyAlignment="1" applyProtection="1">
      <alignment horizontal="left" vertical="center" wrapText="1"/>
      <protection hidden="1"/>
    </xf>
    <xf numFmtId="0" fontId="17" fillId="0" borderId="31" xfId="0" applyFont="1" applyBorder="1" applyAlignment="1" applyProtection="1">
      <alignment horizontal="left" vertical="center" wrapText="1"/>
      <protection hidden="1"/>
    </xf>
    <xf numFmtId="0" fontId="2" fillId="4" borderId="1" xfId="0" applyFont="1" applyFill="1" applyBorder="1" applyAlignment="1" applyProtection="1">
      <alignment horizontal="left" vertical="center"/>
      <protection hidden="1"/>
    </xf>
    <xf numFmtId="0" fontId="2" fillId="0" borderId="0" xfId="0" applyFont="1" applyAlignment="1" applyProtection="1">
      <alignment horizontal="center"/>
      <protection hidden="1"/>
    </xf>
    <xf numFmtId="0" fontId="0" fillId="0" borderId="0" xfId="0" applyAlignment="1" applyProtection="1">
      <alignment horizontal="left" vertical="top" wrapText="1"/>
      <protection hidden="1"/>
    </xf>
    <xf numFmtId="0" fontId="0" fillId="0" borderId="0" xfId="0" applyAlignment="1" applyProtection="1">
      <alignment horizontal="left" wrapText="1"/>
      <protection hidden="1"/>
    </xf>
    <xf numFmtId="0" fontId="0" fillId="4" borderId="1" xfId="0" applyFill="1" applyBorder="1" applyAlignment="1" applyProtection="1">
      <alignment horizontal="center"/>
      <protection hidden="1"/>
    </xf>
    <xf numFmtId="2" fontId="0" fillId="0" borderId="1" xfId="0" applyNumberFormat="1" applyBorder="1" applyAlignment="1" applyProtection="1">
      <alignment horizontal="center"/>
      <protection hidden="1"/>
    </xf>
    <xf numFmtId="0" fontId="4" fillId="2" borderId="14" xfId="0" applyFont="1" applyFill="1" applyBorder="1" applyAlignment="1" applyProtection="1">
      <alignment horizontal="center"/>
      <protection hidden="1"/>
    </xf>
    <xf numFmtId="0" fontId="4" fillId="2" borderId="15" xfId="0" applyFont="1" applyFill="1" applyBorder="1" applyAlignment="1" applyProtection="1">
      <alignment horizontal="center"/>
      <protection hidden="1"/>
    </xf>
    <xf numFmtId="0" fontId="4" fillId="2" borderId="16" xfId="0" applyFont="1" applyFill="1" applyBorder="1" applyAlignment="1" applyProtection="1">
      <alignment horizontal="center"/>
      <protection hidden="1"/>
    </xf>
    <xf numFmtId="0" fontId="0" fillId="0" borderId="1" xfId="0" applyBorder="1" applyAlignment="1" applyProtection="1">
      <alignment horizontal="center"/>
      <protection hidden="1"/>
    </xf>
    <xf numFmtId="10" fontId="0" fillId="0" borderId="1" xfId="0" applyNumberFormat="1" applyBorder="1" applyAlignment="1" applyProtection="1">
      <alignment horizontal="center"/>
      <protection hidden="1"/>
    </xf>
    <xf numFmtId="0" fontId="0" fillId="0" borderId="8" xfId="0" applyBorder="1" applyAlignment="1" applyProtection="1">
      <alignment horizontal="center" vertical="center"/>
      <protection hidden="1"/>
    </xf>
    <xf numFmtId="0" fontId="0" fillId="0" borderId="9" xfId="0" applyBorder="1" applyAlignment="1" applyProtection="1">
      <alignment horizontal="center" vertical="center"/>
      <protection hidden="1"/>
    </xf>
    <xf numFmtId="0" fontId="0" fillId="0" borderId="8" xfId="0" applyBorder="1" applyAlignment="1" applyProtection="1">
      <alignment horizontal="center"/>
      <protection hidden="1"/>
    </xf>
    <xf numFmtId="0" fontId="0" fillId="0" borderId="9" xfId="0" applyBorder="1" applyAlignment="1" applyProtection="1">
      <alignment horizontal="center"/>
      <protection hidden="1"/>
    </xf>
    <xf numFmtId="0" fontId="0" fillId="4" borderId="22" xfId="0" applyFill="1" applyBorder="1" applyAlignment="1" applyProtection="1">
      <alignment horizontal="center"/>
      <protection hidden="1"/>
    </xf>
    <xf numFmtId="0" fontId="3" fillId="4" borderId="1" xfId="0" applyFont="1" applyFill="1" applyBorder="1" applyAlignment="1" applyProtection="1">
      <alignment horizontal="center" vertical="center"/>
      <protection hidden="1"/>
    </xf>
    <xf numFmtId="0" fontId="2" fillId="0" borderId="0" xfId="0" applyFont="1" applyAlignment="1">
      <alignment horizontal="center"/>
    </xf>
    <xf numFmtId="0" fontId="6" fillId="4" borderId="8" xfId="0" applyFont="1" applyFill="1" applyBorder="1" applyAlignment="1" applyProtection="1">
      <alignment horizontal="center" vertical="center"/>
      <protection hidden="1"/>
    </xf>
    <xf numFmtId="0" fontId="6" fillId="4" borderId="9" xfId="0" applyFont="1" applyFill="1" applyBorder="1" applyAlignment="1" applyProtection="1">
      <alignment horizontal="center" vertical="center"/>
      <protection hidden="1"/>
    </xf>
    <xf numFmtId="0" fontId="3" fillId="4" borderId="13" xfId="0" applyFont="1" applyFill="1" applyBorder="1" applyAlignment="1" applyProtection="1">
      <alignment horizontal="center" vertical="center"/>
      <protection hidden="1"/>
    </xf>
    <xf numFmtId="0" fontId="3" fillId="4" borderId="0" xfId="0" applyFont="1" applyFill="1" applyAlignment="1" applyProtection="1">
      <alignment horizontal="center" vertical="center"/>
      <protection hidden="1"/>
    </xf>
    <xf numFmtId="0" fontId="3" fillId="4" borderId="17" xfId="0" applyFont="1" applyFill="1" applyBorder="1" applyAlignment="1" applyProtection="1">
      <alignment horizontal="center" vertical="center"/>
      <protection hidden="1"/>
    </xf>
    <xf numFmtId="0" fontId="3" fillId="4" borderId="8" xfId="0" applyFont="1" applyFill="1" applyBorder="1" applyAlignment="1" applyProtection="1">
      <alignment horizontal="center" vertical="center"/>
      <protection hidden="1"/>
    </xf>
    <xf numFmtId="0" fontId="3" fillId="4" borderId="19" xfId="0" applyFont="1" applyFill="1" applyBorder="1" applyAlignment="1" applyProtection="1">
      <alignment horizontal="center" vertical="center"/>
      <protection hidden="1"/>
    </xf>
    <xf numFmtId="0" fontId="3" fillId="4" borderId="9" xfId="0" applyFont="1" applyFill="1" applyBorder="1" applyAlignment="1" applyProtection="1">
      <alignment horizontal="center" vertical="center"/>
      <protection hidden="1"/>
    </xf>
    <xf numFmtId="0" fontId="16" fillId="0" borderId="8" xfId="0" applyFont="1" applyBorder="1" applyAlignment="1">
      <alignment horizontal="center"/>
    </xf>
    <xf numFmtId="0" fontId="16" fillId="0" borderId="19" xfId="0" applyFont="1" applyBorder="1" applyAlignment="1">
      <alignment horizontal="center"/>
    </xf>
    <xf numFmtId="0" fontId="16" fillId="0" borderId="9" xfId="0" applyFont="1" applyBorder="1" applyAlignment="1">
      <alignment horizontal="center"/>
    </xf>
    <xf numFmtId="0" fontId="16" fillId="0" borderId="1" xfId="0" applyFont="1" applyBorder="1" applyAlignment="1">
      <alignment horizontal="center" vertical="center"/>
    </xf>
    <xf numFmtId="0" fontId="16" fillId="0" borderId="1" xfId="0" applyFont="1" applyBorder="1" applyAlignment="1">
      <alignment horizontal="center"/>
    </xf>
    <xf numFmtId="0" fontId="16" fillId="0" borderId="10" xfId="0" applyFont="1" applyBorder="1" applyAlignment="1">
      <alignment horizontal="center" wrapText="1"/>
    </xf>
    <xf numFmtId="0" fontId="16" fillId="0" borderId="20" xfId="0" applyFont="1" applyBorder="1" applyAlignment="1">
      <alignment horizontal="center" wrapText="1"/>
    </xf>
    <xf numFmtId="0" fontId="0" fillId="0" borderId="0" xfId="0" applyAlignment="1" applyProtection="1">
      <alignment horizontal="center"/>
      <protection hidden="1"/>
    </xf>
    <xf numFmtId="0" fontId="2" fillId="0" borderId="0" xfId="0" applyFont="1" applyAlignment="1" applyProtection="1">
      <alignment horizontal="center" wrapText="1"/>
      <protection hidden="1"/>
    </xf>
    <xf numFmtId="0" fontId="3" fillId="0" borderId="0" xfId="0" applyFont="1" applyAlignment="1" applyProtection="1">
      <alignment horizontal="left"/>
      <protection hidden="1"/>
    </xf>
  </cellXfs>
  <cellStyles count="2">
    <cellStyle name="Normal" xfId="0" builtinId="0"/>
    <cellStyle name="Percent" xfId="1" builtinId="5"/>
  </cellStyles>
  <dxfs count="9">
    <dxf>
      <fill>
        <patternFill>
          <bgColor theme="1"/>
        </patternFill>
      </fill>
    </dxf>
    <dxf>
      <fill>
        <patternFill>
          <bgColor theme="1"/>
        </patternFill>
      </fill>
    </dxf>
    <dxf>
      <fill>
        <patternFill>
          <bgColor theme="0"/>
        </patternFill>
      </fill>
    </dxf>
    <dxf>
      <fill>
        <patternFill>
          <bgColor theme="0" tint="-0.34998626667073579"/>
        </patternFill>
      </fill>
    </dxf>
    <dxf>
      <fill>
        <patternFill>
          <bgColor theme="1"/>
        </patternFill>
      </fill>
    </dxf>
    <dxf>
      <fill>
        <patternFill>
          <bgColor theme="1" tint="4.9989318521683403E-2"/>
        </patternFill>
      </fill>
    </dxf>
    <dxf>
      <fill>
        <patternFill>
          <bgColor theme="1"/>
        </patternFill>
      </fill>
    </dxf>
    <dxf>
      <fill>
        <patternFill>
          <bgColor theme="1"/>
        </patternFill>
      </fill>
    </dxf>
    <dxf>
      <fill>
        <patternFill>
          <bgColor theme="1" tint="4.9989318521683403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1</xdr:col>
      <xdr:colOff>51434</xdr:colOff>
      <xdr:row>1</xdr:row>
      <xdr:rowOff>109401</xdr:rowOff>
    </xdr:from>
    <xdr:to>
      <xdr:col>2</xdr:col>
      <xdr:colOff>1465897</xdr:colOff>
      <xdr:row>1</xdr:row>
      <xdr:rowOff>439574</xdr:rowOff>
    </xdr:to>
    <xdr:pic>
      <xdr:nvPicPr>
        <xdr:cNvPr id="7" name="Picture 6">
          <a:extLst>
            <a:ext uri="{FF2B5EF4-FFF2-40B4-BE49-F238E27FC236}">
              <a16:creationId xmlns:a16="http://schemas.microsoft.com/office/drawing/2014/main" id="{93C34B6E-7D95-4772-BBF2-77A8FAD8E7D6}"/>
            </a:ext>
          </a:extLst>
        </xdr:cNvPr>
        <xdr:cNvPicPr>
          <a:picLocks noChangeAspect="1"/>
        </xdr:cNvPicPr>
      </xdr:nvPicPr>
      <xdr:blipFill>
        <a:blip xmlns:r="http://schemas.openxmlformats.org/officeDocument/2006/relationships" r:embed="rId1"/>
        <a:stretch>
          <a:fillRect/>
        </a:stretch>
      </xdr:blipFill>
      <xdr:spPr>
        <a:xfrm>
          <a:off x="663755" y="531222"/>
          <a:ext cx="1931535" cy="33017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54685</xdr:colOff>
      <xdr:row>1</xdr:row>
      <xdr:rowOff>69028</xdr:rowOff>
    </xdr:from>
    <xdr:to>
      <xdr:col>2</xdr:col>
      <xdr:colOff>1482385</xdr:colOff>
      <xdr:row>1</xdr:row>
      <xdr:rowOff>403011</xdr:rowOff>
    </xdr:to>
    <xdr:pic>
      <xdr:nvPicPr>
        <xdr:cNvPr id="3" name="Picture 2">
          <a:extLst>
            <a:ext uri="{FF2B5EF4-FFF2-40B4-BE49-F238E27FC236}">
              <a16:creationId xmlns:a16="http://schemas.microsoft.com/office/drawing/2014/main" id="{4841ACF9-433F-457B-8CF7-7C910EF22F7A}"/>
            </a:ext>
          </a:extLst>
        </xdr:cNvPr>
        <xdr:cNvPicPr>
          <a:picLocks noChangeAspect="1"/>
        </xdr:cNvPicPr>
      </xdr:nvPicPr>
      <xdr:blipFill>
        <a:blip xmlns:r="http://schemas.openxmlformats.org/officeDocument/2006/relationships" r:embed="rId1"/>
        <a:stretch>
          <a:fillRect/>
        </a:stretch>
      </xdr:blipFill>
      <xdr:spPr>
        <a:xfrm>
          <a:off x="679525" y="488128"/>
          <a:ext cx="1942050" cy="345413"/>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E7A058-534D-434B-AFCF-2DC473F51105}">
  <sheetPr codeName="Sheet9"/>
  <dimension ref="B1:AC119"/>
  <sheetViews>
    <sheetView showGridLines="0" showRowColHeaders="0" tabSelected="1" topLeftCell="A21" zoomScale="145" zoomScaleNormal="145" workbookViewId="0">
      <selection activeCell="D42" sqref="D42"/>
    </sheetView>
  </sheetViews>
  <sheetFormatPr defaultRowHeight="14.5" x14ac:dyDescent="0.35"/>
  <cols>
    <col min="1" max="1" width="9.1796875" customWidth="1"/>
    <col min="2" max="2" width="7.7265625" customWidth="1"/>
    <col min="3" max="3" width="35" bestFit="1" customWidth="1"/>
    <col min="4" max="4" width="35.7265625" bestFit="1" customWidth="1"/>
    <col min="5" max="5" width="9.81640625" customWidth="1"/>
    <col min="6" max="6" width="22.26953125" bestFit="1" customWidth="1"/>
    <col min="7" max="7" width="14" bestFit="1" customWidth="1"/>
    <col min="8" max="8" width="26.81640625" bestFit="1" customWidth="1"/>
    <col min="9" max="9" width="27.81640625" bestFit="1" customWidth="1"/>
    <col min="10" max="10" width="7.26953125" customWidth="1"/>
    <col min="22" max="22" width="24.7265625" style="1" hidden="1" customWidth="1"/>
    <col min="23" max="24" width="8.81640625" style="1" hidden="1" customWidth="1"/>
    <col min="25" max="25" width="24.7265625" style="1" hidden="1" customWidth="1"/>
    <col min="26" max="26" width="12.453125" style="134" hidden="1" customWidth="1"/>
    <col min="28" max="28" width="22.7265625" hidden="1" customWidth="1"/>
    <col min="29" max="29" width="8.81640625" hidden="1" customWidth="1"/>
  </cols>
  <sheetData>
    <row r="1" spans="2:29" ht="33" customHeight="1" thickBot="1" x14ac:dyDescent="0.4"/>
    <row r="2" spans="2:29" ht="42.5" thickBot="1" x14ac:dyDescent="0.4">
      <c r="B2" s="171" t="s">
        <v>222</v>
      </c>
      <c r="C2" s="172"/>
      <c r="D2" s="172"/>
      <c r="E2" s="172"/>
      <c r="F2" s="172"/>
      <c r="G2" s="172"/>
      <c r="H2" s="172"/>
      <c r="I2" s="172"/>
      <c r="J2" s="173"/>
      <c r="V2" s="135" t="s">
        <v>248</v>
      </c>
      <c r="W2" s="136" t="s">
        <v>249</v>
      </c>
      <c r="X2"/>
      <c r="Y2" s="135" t="s">
        <v>250</v>
      </c>
      <c r="Z2" s="136" t="s">
        <v>249</v>
      </c>
    </row>
    <row r="3" spans="2:29" x14ac:dyDescent="0.35">
      <c r="B3" s="7"/>
      <c r="C3" s="1"/>
      <c r="D3" s="1"/>
      <c r="E3" s="1"/>
      <c r="F3" s="23"/>
      <c r="G3" s="1"/>
      <c r="H3" s="1"/>
      <c r="I3" s="1"/>
      <c r="J3" s="8"/>
      <c r="V3" s="137" t="s">
        <v>251</v>
      </c>
      <c r="W3" s="142">
        <v>1000</v>
      </c>
      <c r="X3"/>
      <c r="Y3" s="119" t="s">
        <v>6</v>
      </c>
      <c r="Z3" s="144" t="s">
        <v>64</v>
      </c>
      <c r="AB3" s="55" t="s">
        <v>6</v>
      </c>
    </row>
    <row r="4" spans="2:29" x14ac:dyDescent="0.35">
      <c r="B4" s="7"/>
      <c r="C4" s="1"/>
      <c r="D4" s="174" t="s">
        <v>0</v>
      </c>
      <c r="E4" s="174"/>
      <c r="F4" s="174"/>
      <c r="G4" s="1"/>
      <c r="H4" s="1"/>
      <c r="I4" s="1"/>
      <c r="J4" s="8"/>
      <c r="V4" s="137" t="s">
        <v>252</v>
      </c>
      <c r="W4" s="88">
        <v>200</v>
      </c>
      <c r="X4"/>
      <c r="Y4" s="119" t="s">
        <v>246</v>
      </c>
      <c r="Z4" s="144" t="s">
        <v>240</v>
      </c>
      <c r="AB4" s="47" t="s">
        <v>231</v>
      </c>
    </row>
    <row r="5" spans="2:29" x14ac:dyDescent="0.35">
      <c r="B5" s="7"/>
      <c r="C5" s="1"/>
      <c r="D5" s="34" t="s">
        <v>2</v>
      </c>
      <c r="E5" s="175" t="s">
        <v>3</v>
      </c>
      <c r="F5" s="175"/>
      <c r="G5" s="1"/>
      <c r="H5" s="1"/>
      <c r="I5" s="1"/>
      <c r="J5" s="8"/>
      <c r="V5" s="137" t="s">
        <v>253</v>
      </c>
      <c r="W5" s="142">
        <v>19728</v>
      </c>
      <c r="X5"/>
      <c r="Y5" s="138" t="s">
        <v>11</v>
      </c>
      <c r="Z5" s="145" t="s">
        <v>12</v>
      </c>
      <c r="AB5" s="47" t="s">
        <v>320</v>
      </c>
    </row>
    <row r="6" spans="2:29" x14ac:dyDescent="0.35">
      <c r="B6" s="7"/>
      <c r="C6" s="1"/>
      <c r="D6" s="34" t="s">
        <v>0</v>
      </c>
      <c r="E6" s="175" t="s">
        <v>199</v>
      </c>
      <c r="F6" s="175"/>
      <c r="G6" s="1"/>
      <c r="H6" s="1"/>
      <c r="I6" s="1"/>
      <c r="J6" s="8"/>
      <c r="V6" s="137" t="s">
        <v>254</v>
      </c>
      <c r="W6" s="88">
        <v>3000</v>
      </c>
      <c r="X6"/>
      <c r="Y6" s="138" t="s">
        <v>13</v>
      </c>
      <c r="Z6" s="144" t="s">
        <v>14</v>
      </c>
      <c r="AB6" s="47" t="s">
        <v>236</v>
      </c>
    </row>
    <row r="7" spans="2:29" ht="14.5" customHeight="1" x14ac:dyDescent="0.35">
      <c r="B7" s="7"/>
      <c r="C7" s="1"/>
      <c r="D7" s="34" t="s">
        <v>6</v>
      </c>
      <c r="E7" s="166" t="s">
        <v>320</v>
      </c>
      <c r="F7" s="166"/>
      <c r="G7" s="42"/>
      <c r="H7" s="157"/>
      <c r="I7" s="1"/>
      <c r="J7" s="8"/>
      <c r="V7" s="137" t="s">
        <v>255</v>
      </c>
      <c r="W7" s="142">
        <v>13920</v>
      </c>
      <c r="X7"/>
      <c r="Y7" s="138" t="s">
        <v>23</v>
      </c>
      <c r="Z7" s="146" t="s">
        <v>277</v>
      </c>
      <c r="AB7" s="47" t="s">
        <v>201</v>
      </c>
    </row>
    <row r="8" spans="2:29" ht="14.5" customHeight="1" x14ac:dyDescent="0.35">
      <c r="B8" s="7"/>
      <c r="C8" s="1"/>
      <c r="D8" s="34" t="s">
        <v>246</v>
      </c>
      <c r="E8" s="166" t="s">
        <v>241</v>
      </c>
      <c r="F8" s="166"/>
      <c r="G8" s="1"/>
      <c r="H8" s="157"/>
      <c r="I8" s="1"/>
      <c r="J8" s="8"/>
      <c r="V8" s="137" t="s">
        <v>256</v>
      </c>
      <c r="W8" s="88">
        <v>2000</v>
      </c>
      <c r="X8"/>
      <c r="Y8" s="138" t="s">
        <v>25</v>
      </c>
      <c r="Z8" s="144" t="s">
        <v>26</v>
      </c>
      <c r="AB8" s="47" t="s">
        <v>200</v>
      </c>
    </row>
    <row r="9" spans="2:29" x14ac:dyDescent="0.35">
      <c r="B9" s="7"/>
      <c r="C9" s="1"/>
      <c r="D9" s="34" t="s">
        <v>11</v>
      </c>
      <c r="E9" s="166" t="s">
        <v>12</v>
      </c>
      <c r="F9" s="166"/>
      <c r="G9" s="1"/>
      <c r="H9" s="1"/>
      <c r="I9" s="1"/>
      <c r="J9" s="8"/>
      <c r="V9" s="137" t="s">
        <v>257</v>
      </c>
      <c r="W9" s="142">
        <v>204</v>
      </c>
      <c r="X9"/>
      <c r="Y9" s="138" t="s">
        <v>258</v>
      </c>
      <c r="Z9" s="144">
        <v>25</v>
      </c>
      <c r="AB9" s="47" t="s">
        <v>7</v>
      </c>
    </row>
    <row r="10" spans="2:29" x14ac:dyDescent="0.35">
      <c r="B10" s="7"/>
      <c r="C10" s="1"/>
      <c r="D10" s="34" t="s">
        <v>225</v>
      </c>
      <c r="E10" s="169" t="s">
        <v>227</v>
      </c>
      <c r="F10" s="170"/>
      <c r="G10" s="1"/>
      <c r="H10" s="1"/>
      <c r="I10" s="1"/>
      <c r="J10" s="8"/>
      <c r="V10" s="137" t="s">
        <v>259</v>
      </c>
      <c r="W10" s="88">
        <v>50</v>
      </c>
      <c r="X10"/>
      <c r="Y10" s="138" t="s">
        <v>260</v>
      </c>
      <c r="Z10" s="144">
        <v>100</v>
      </c>
      <c r="AB10" s="47" t="s">
        <v>64</v>
      </c>
    </row>
    <row r="11" spans="2:29" x14ac:dyDescent="0.35">
      <c r="B11" s="7"/>
      <c r="C11" s="1"/>
      <c r="D11" s="34" t="s">
        <v>13</v>
      </c>
      <c r="E11" s="177" t="s">
        <v>14</v>
      </c>
      <c r="F11" s="177"/>
      <c r="G11" s="1"/>
      <c r="H11" s="1"/>
      <c r="I11" s="1"/>
      <c r="J11" s="8"/>
      <c r="V11" s="137" t="s">
        <v>261</v>
      </c>
      <c r="W11" s="142">
        <v>36</v>
      </c>
      <c r="X11"/>
      <c r="Y11" s="138" t="s">
        <v>262</v>
      </c>
      <c r="Z11" s="144">
        <v>50</v>
      </c>
    </row>
    <row r="12" spans="2:29" hidden="1" x14ac:dyDescent="0.35">
      <c r="B12" s="7"/>
      <c r="C12" s="1"/>
      <c r="D12" s="30" t="s">
        <v>16</v>
      </c>
      <c r="E12" s="31">
        <f>calTotal!E12</f>
        <v>5.8753894579513712</v>
      </c>
      <c r="F12" s="1"/>
      <c r="G12" s="1"/>
      <c r="H12" s="1"/>
      <c r="I12" s="1"/>
      <c r="J12" s="8"/>
      <c r="W12" s="143"/>
      <c r="Z12" s="147"/>
      <c r="AB12" s="55" t="s">
        <v>246</v>
      </c>
    </row>
    <row r="13" spans="2:29" hidden="1" x14ac:dyDescent="0.35">
      <c r="B13" s="7"/>
      <c r="C13" s="1"/>
      <c r="D13" s="1"/>
      <c r="E13" s="1"/>
      <c r="F13" s="1"/>
      <c r="G13" s="1"/>
      <c r="H13" s="1"/>
      <c r="I13" s="1"/>
      <c r="J13" s="8"/>
      <c r="W13" s="143"/>
      <c r="X13"/>
      <c r="Z13" s="147"/>
      <c r="AB13" s="47" t="s">
        <v>238</v>
      </c>
      <c r="AC13" t="str">
        <f>IF(Z3="W80","SG_IndustrialOnly",IF(OR(Z3="F169",Z3="F256"),"SG_AutomotiveEn","SG_STD"))</f>
        <v>SG_STD</v>
      </c>
    </row>
    <row r="14" spans="2:29" x14ac:dyDescent="0.35">
      <c r="B14" s="7"/>
      <c r="C14" s="1"/>
      <c r="D14" s="32"/>
      <c r="E14" s="1"/>
      <c r="F14" s="1"/>
      <c r="G14" s="1"/>
      <c r="H14" s="1"/>
      <c r="I14" s="1"/>
      <c r="J14" s="8"/>
      <c r="V14" s="137" t="s">
        <v>263</v>
      </c>
      <c r="W14" s="88">
        <v>9</v>
      </c>
      <c r="X14"/>
      <c r="Y14" s="138" t="s">
        <v>264</v>
      </c>
      <c r="Z14" s="144">
        <v>50</v>
      </c>
      <c r="AB14" s="47" t="s">
        <v>239</v>
      </c>
    </row>
    <row r="15" spans="2:29" x14ac:dyDescent="0.35">
      <c r="B15" s="7"/>
      <c r="C15" s="1"/>
      <c r="D15" s="174" t="s">
        <v>19</v>
      </c>
      <c r="E15" s="174"/>
      <c r="F15" s="174"/>
      <c r="G15" s="33"/>
      <c r="H15" s="32"/>
      <c r="I15" s="1"/>
      <c r="J15" s="8"/>
      <c r="V15" s="137" t="s">
        <v>265</v>
      </c>
      <c r="W15" s="142">
        <v>13920</v>
      </c>
      <c r="X15"/>
      <c r="Y15" s="138" t="s">
        <v>266</v>
      </c>
      <c r="Z15" s="148">
        <v>0.125</v>
      </c>
      <c r="AB15" s="47" t="s">
        <v>240</v>
      </c>
    </row>
    <row r="16" spans="2:29" x14ac:dyDescent="0.35">
      <c r="B16" s="7"/>
      <c r="C16" s="1"/>
      <c r="D16" s="50" t="s">
        <v>20</v>
      </c>
      <c r="E16" s="178">
        <v>25</v>
      </c>
      <c r="F16" s="178"/>
      <c r="G16" s="1"/>
      <c r="H16" s="1"/>
      <c r="I16" s="1"/>
      <c r="J16" s="8"/>
      <c r="V16" s="137" t="s">
        <v>267</v>
      </c>
      <c r="W16" s="88">
        <v>2000</v>
      </c>
      <c r="X16"/>
      <c r="Y16" s="138" t="s">
        <v>268</v>
      </c>
      <c r="Z16" s="144">
        <v>20</v>
      </c>
      <c r="AB16" s="47" t="s">
        <v>241</v>
      </c>
    </row>
    <row r="17" spans="2:28" x14ac:dyDescent="0.35">
      <c r="B17" s="7"/>
      <c r="C17" s="1"/>
      <c r="D17" s="29" t="s">
        <v>23</v>
      </c>
      <c r="E17" s="179" t="s">
        <v>277</v>
      </c>
      <c r="F17" s="179"/>
      <c r="G17" s="1"/>
      <c r="H17" s="1"/>
      <c r="I17" s="1"/>
      <c r="J17" s="8"/>
      <c r="V17" s="137" t="s">
        <v>269</v>
      </c>
      <c r="W17" s="142">
        <v>500</v>
      </c>
      <c r="X17"/>
      <c r="Y17" s="138" t="s">
        <v>270</v>
      </c>
      <c r="Z17" s="144">
        <v>10</v>
      </c>
    </row>
    <row r="18" spans="2:28" x14ac:dyDescent="0.35">
      <c r="B18" s="7"/>
      <c r="C18" s="1"/>
      <c r="D18" s="29" t="s">
        <v>25</v>
      </c>
      <c r="E18" s="167" t="s">
        <v>26</v>
      </c>
      <c r="F18" s="168"/>
      <c r="G18" s="1"/>
      <c r="H18" s="1"/>
      <c r="I18" s="1"/>
      <c r="J18" s="8"/>
      <c r="V18" s="137" t="s">
        <v>271</v>
      </c>
      <c r="W18" s="88">
        <v>50</v>
      </c>
      <c r="X18"/>
      <c r="Y18" s="138" t="s">
        <v>272</v>
      </c>
      <c r="Z18" s="144">
        <v>10</v>
      </c>
      <c r="AB18" s="139" t="s">
        <v>11</v>
      </c>
    </row>
    <row r="19" spans="2:28" x14ac:dyDescent="0.35">
      <c r="B19" s="7"/>
      <c r="C19" s="1"/>
      <c r="D19" s="60" t="s">
        <v>28</v>
      </c>
      <c r="E19" s="180" t="s">
        <v>29</v>
      </c>
      <c r="F19" s="180"/>
      <c r="G19" s="1"/>
      <c r="H19" s="1"/>
      <c r="I19" s="1"/>
      <c r="J19" s="8"/>
      <c r="V19" s="137" t="s">
        <v>273</v>
      </c>
      <c r="W19" s="142">
        <v>1600</v>
      </c>
      <c r="X19"/>
      <c r="Y19" s="138" t="s">
        <v>274</v>
      </c>
      <c r="Z19" s="144">
        <v>200</v>
      </c>
      <c r="AB19" s="79" t="s">
        <v>12</v>
      </c>
    </row>
    <row r="20" spans="2:28" hidden="1" x14ac:dyDescent="0.35">
      <c r="B20" s="7"/>
      <c r="C20" s="1"/>
      <c r="D20" s="29" t="s">
        <v>30</v>
      </c>
      <c r="E20" s="181">
        <v>50</v>
      </c>
      <c r="F20" s="182"/>
      <c r="G20" s="1"/>
      <c r="H20" s="1"/>
      <c r="I20" s="1"/>
      <c r="J20" s="8"/>
      <c r="W20" s="143"/>
      <c r="Z20" s="147"/>
      <c r="AB20" s="79" t="s">
        <v>65</v>
      </c>
    </row>
    <row r="21" spans="2:28" x14ac:dyDescent="0.35">
      <c r="B21" s="7"/>
      <c r="C21" s="1"/>
      <c r="D21" s="29" t="s">
        <v>30</v>
      </c>
      <c r="E21" s="176" t="str">
        <f>calTotal!E21</f>
        <v>Invalid</v>
      </c>
      <c r="F21" s="176"/>
      <c r="G21" s="1"/>
      <c r="H21" s="1"/>
      <c r="I21" s="1"/>
      <c r="J21" s="8"/>
      <c r="W21" s="143"/>
      <c r="Z21" s="147"/>
      <c r="AB21" s="1"/>
    </row>
    <row r="22" spans="2:28" x14ac:dyDescent="0.35">
      <c r="B22" s="7"/>
      <c r="C22" s="1"/>
      <c r="D22" s="29" t="s">
        <v>31</v>
      </c>
      <c r="E22" s="176">
        <f>calTotal!E22</f>
        <v>111.34211007871819</v>
      </c>
      <c r="F22" s="176"/>
      <c r="G22" s="1"/>
      <c r="H22" s="1"/>
      <c r="I22" s="1"/>
      <c r="J22" s="8"/>
      <c r="V22" s="137" t="s">
        <v>275</v>
      </c>
      <c r="W22" s="88">
        <v>160</v>
      </c>
      <c r="X22"/>
      <c r="Y22" s="138" t="s">
        <v>276</v>
      </c>
      <c r="Z22" s="144">
        <v>800</v>
      </c>
      <c r="AB22" s="139" t="s">
        <v>13</v>
      </c>
    </row>
    <row r="23" spans="2:28" x14ac:dyDescent="0.35">
      <c r="B23" s="7"/>
      <c r="C23" s="1"/>
      <c r="D23" s="29" t="s">
        <v>32</v>
      </c>
      <c r="E23" s="176" t="e">
        <f>calTotal!E23</f>
        <v>#VALUE!</v>
      </c>
      <c r="F23" s="176"/>
      <c r="G23" s="1"/>
      <c r="H23" s="1"/>
      <c r="I23" s="1"/>
      <c r="J23" s="8"/>
      <c r="V23" s="137" t="s">
        <v>278</v>
      </c>
      <c r="W23" s="142">
        <v>4</v>
      </c>
      <c r="X23"/>
      <c r="Y23" s="138" t="s">
        <v>279</v>
      </c>
      <c r="Z23" s="144">
        <v>2</v>
      </c>
      <c r="AB23" s="47" t="s">
        <v>14</v>
      </c>
    </row>
    <row r="24" spans="2:28" x14ac:dyDescent="0.35">
      <c r="B24" s="7"/>
      <c r="C24" s="1"/>
      <c r="D24" s="32"/>
      <c r="E24" s="18"/>
      <c r="F24" s="18"/>
      <c r="G24" s="1"/>
      <c r="H24" s="1"/>
      <c r="I24" s="1"/>
      <c r="J24" s="8"/>
      <c r="V24" s="137" t="s">
        <v>280</v>
      </c>
      <c r="W24" s="88">
        <v>1</v>
      </c>
      <c r="X24"/>
      <c r="Y24" s="138" t="s">
        <v>281</v>
      </c>
      <c r="Z24" s="144" t="s">
        <v>282</v>
      </c>
      <c r="AB24" s="47" t="s">
        <v>218</v>
      </c>
    </row>
    <row r="25" spans="2:28" ht="18.5" x14ac:dyDescent="0.45">
      <c r="B25" s="7"/>
      <c r="C25" s="65" t="s">
        <v>33</v>
      </c>
      <c r="D25" s="63"/>
      <c r="E25" s="66"/>
      <c r="F25" s="66"/>
      <c r="G25" s="63"/>
      <c r="H25" s="63"/>
      <c r="I25" s="67"/>
      <c r="J25" s="8"/>
      <c r="V25" s="137" t="s">
        <v>283</v>
      </c>
      <c r="W25" s="142">
        <v>1500</v>
      </c>
      <c r="X25"/>
      <c r="Y25" s="138" t="s">
        <v>284</v>
      </c>
      <c r="Z25" s="144">
        <v>500</v>
      </c>
      <c r="AB25" s="140" t="s">
        <v>65</v>
      </c>
    </row>
    <row r="26" spans="2:28" ht="42.65" customHeight="1" x14ac:dyDescent="0.35">
      <c r="B26" s="7"/>
      <c r="C26" s="183" t="str">
        <f>calTotal!C26</f>
        <v>Device junction temperature exceeds the maximum operating temperature based on the selected grade . Please reduce the ambient temperature or improve cooling solution to your system. Please consult Efinix Application Engineer for more suggestion on the thermal solutions.</v>
      </c>
      <c r="D26" s="184"/>
      <c r="E26" s="184"/>
      <c r="F26" s="184"/>
      <c r="G26" s="184"/>
      <c r="H26" s="184"/>
      <c r="I26" s="185"/>
      <c r="J26" s="8"/>
      <c r="V26" s="137" t="s">
        <v>285</v>
      </c>
      <c r="W26" s="88">
        <v>150</v>
      </c>
      <c r="X26"/>
      <c r="Y26" s="138" t="s">
        <v>286</v>
      </c>
      <c r="Z26" s="149">
        <v>0.5</v>
      </c>
      <c r="AB26" s="141"/>
    </row>
    <row r="27" spans="2:28" x14ac:dyDescent="0.35">
      <c r="B27" s="7"/>
      <c r="C27" s="1"/>
      <c r="D27" s="1"/>
      <c r="E27" s="1"/>
      <c r="F27" s="1"/>
      <c r="G27" s="1"/>
      <c r="H27" s="1"/>
      <c r="I27" s="1"/>
      <c r="J27" s="8"/>
      <c r="V27" s="137" t="s">
        <v>287</v>
      </c>
      <c r="W27" s="142">
        <v>100</v>
      </c>
      <c r="X27"/>
      <c r="Y27" s="138" t="s">
        <v>171</v>
      </c>
      <c r="Z27" s="144" t="s">
        <v>190</v>
      </c>
      <c r="AB27" s="52" t="s">
        <v>23</v>
      </c>
    </row>
    <row r="28" spans="2:28" x14ac:dyDescent="0.35">
      <c r="B28" s="7"/>
      <c r="C28" s="174" t="s">
        <v>34</v>
      </c>
      <c r="D28" s="174"/>
      <c r="E28" s="1"/>
      <c r="F28" s="174" t="s">
        <v>35</v>
      </c>
      <c r="G28" s="174"/>
      <c r="H28" s="174"/>
      <c r="I28" s="174"/>
      <c r="J28" s="8"/>
      <c r="V28" s="137" t="s">
        <v>288</v>
      </c>
      <c r="W28" s="88">
        <v>10</v>
      </c>
      <c r="X28"/>
      <c r="Y28" s="138" t="s">
        <v>172</v>
      </c>
      <c r="Z28" s="144" t="s">
        <v>191</v>
      </c>
      <c r="AB28" s="51" t="s">
        <v>277</v>
      </c>
    </row>
    <row r="29" spans="2:28" x14ac:dyDescent="0.35">
      <c r="B29" s="7"/>
      <c r="C29" s="29" t="s">
        <v>36</v>
      </c>
      <c r="D29" s="35" t="s">
        <v>37</v>
      </c>
      <c r="E29" s="1"/>
      <c r="F29" s="186" t="s">
        <v>38</v>
      </c>
      <c r="G29" s="186" t="s">
        <v>39</v>
      </c>
      <c r="H29" s="186" t="s">
        <v>40</v>
      </c>
      <c r="I29" s="186" t="s">
        <v>41</v>
      </c>
      <c r="J29" s="8"/>
      <c r="V29" s="137" t="s">
        <v>289</v>
      </c>
      <c r="W29" s="142">
        <v>1066</v>
      </c>
      <c r="X29"/>
      <c r="Y29" s="138" t="s">
        <v>173</v>
      </c>
      <c r="Z29" s="144" t="s">
        <v>290</v>
      </c>
      <c r="AB29" s="71" t="s">
        <v>317</v>
      </c>
    </row>
    <row r="30" spans="2:28" x14ac:dyDescent="0.35">
      <c r="B30" s="7"/>
      <c r="C30" s="34" t="s">
        <v>44</v>
      </c>
      <c r="D30" s="36">
        <f>calTotal!D30</f>
        <v>947.24986291199991</v>
      </c>
      <c r="E30" s="1"/>
      <c r="F30" s="186"/>
      <c r="G30" s="186"/>
      <c r="H30" s="186"/>
      <c r="I30" s="186"/>
      <c r="J30" s="8"/>
      <c r="V30" s="137" t="s">
        <v>291</v>
      </c>
      <c r="W30" s="88">
        <v>100</v>
      </c>
      <c r="X30"/>
      <c r="Y30" s="138" t="s">
        <v>292</v>
      </c>
      <c r="Z30" s="144">
        <v>500</v>
      </c>
      <c r="AB30" s="71" t="s">
        <v>318</v>
      </c>
    </row>
    <row r="31" spans="2:28" x14ac:dyDescent="0.35">
      <c r="B31" s="7"/>
      <c r="C31" s="34" t="s">
        <v>45</v>
      </c>
      <c r="D31" s="36">
        <f>calTotal!D31</f>
        <v>430.18581600000005</v>
      </c>
      <c r="E31" s="1"/>
      <c r="F31" s="37" t="s">
        <v>24</v>
      </c>
      <c r="G31" s="22">
        <f>calTotal!G31</f>
        <v>1.2</v>
      </c>
      <c r="H31" s="49">
        <f>calTotal!H31</f>
        <v>1698.8232708383334</v>
      </c>
      <c r="I31" s="49">
        <f t="shared" ref="I31:I38" si="0">H31/G31</f>
        <v>1415.6860590319445</v>
      </c>
      <c r="J31" s="8"/>
      <c r="V31" s="137" t="s">
        <v>293</v>
      </c>
      <c r="W31" s="142">
        <v>100</v>
      </c>
      <c r="X31"/>
      <c r="Y31" s="138" t="s">
        <v>294</v>
      </c>
      <c r="Z31" s="150">
        <v>0.5</v>
      </c>
      <c r="AB31" s="1"/>
    </row>
    <row r="32" spans="2:28" x14ac:dyDescent="0.35">
      <c r="B32" s="7"/>
      <c r="C32" s="34" t="s">
        <v>47</v>
      </c>
      <c r="D32" s="36">
        <f>calTotal!D32</f>
        <v>128.24183087999998</v>
      </c>
      <c r="E32" s="1"/>
      <c r="F32" s="37" t="s">
        <v>48</v>
      </c>
      <c r="G32" s="22">
        <f>calTotal!G32</f>
        <v>1.2</v>
      </c>
      <c r="H32" s="49">
        <f>calTotal!H32</f>
        <v>0</v>
      </c>
      <c r="I32" s="49">
        <f t="shared" si="0"/>
        <v>0</v>
      </c>
      <c r="J32" s="8"/>
      <c r="V32" s="137" t="s">
        <v>295</v>
      </c>
      <c r="W32" s="88">
        <v>10</v>
      </c>
      <c r="X32"/>
      <c r="Y32" s="138" t="s">
        <v>296</v>
      </c>
      <c r="Z32" s="144" t="s">
        <v>125</v>
      </c>
      <c r="AB32" s="139" t="s">
        <v>25</v>
      </c>
    </row>
    <row r="33" spans="2:28" x14ac:dyDescent="0.35">
      <c r="B33" s="7"/>
      <c r="C33" s="34" t="s">
        <v>50</v>
      </c>
      <c r="D33" s="36">
        <f>calTotal!D33</f>
        <v>0</v>
      </c>
      <c r="E33" s="1"/>
      <c r="F33" s="186" t="s">
        <v>51</v>
      </c>
      <c r="G33" s="22">
        <f>calTotal!G33</f>
        <v>1.8</v>
      </c>
      <c r="H33" s="49">
        <f>calTotal!H33</f>
        <v>0</v>
      </c>
      <c r="I33" s="49">
        <f t="shared" si="0"/>
        <v>0</v>
      </c>
      <c r="J33" s="8"/>
      <c r="V33" s="137" t="s">
        <v>297</v>
      </c>
      <c r="W33" s="142">
        <v>10</v>
      </c>
      <c r="X33"/>
      <c r="Y33" s="138" t="s">
        <v>298</v>
      </c>
      <c r="Z33" s="144">
        <v>0</v>
      </c>
      <c r="AB33" s="47" t="s">
        <v>26</v>
      </c>
    </row>
    <row r="34" spans="2:28" x14ac:dyDescent="0.35">
      <c r="B34" s="7"/>
      <c r="C34" s="29" t="s">
        <v>53</v>
      </c>
      <c r="D34" s="36">
        <f>calTotal!D34</f>
        <v>67.754768693299212</v>
      </c>
      <c r="E34" s="1"/>
      <c r="F34" s="186"/>
      <c r="G34" s="22">
        <f>calTotal!G34</f>
        <v>2.5</v>
      </c>
      <c r="H34" s="49">
        <f>calTotal!H34</f>
        <v>0</v>
      </c>
      <c r="I34" s="49">
        <f t="shared" si="0"/>
        <v>0</v>
      </c>
      <c r="J34" s="8"/>
      <c r="V34" s="137" t="s">
        <v>299</v>
      </c>
      <c r="W34" s="88">
        <v>2</v>
      </c>
      <c r="X34"/>
      <c r="Y34" s="138" t="s">
        <v>300</v>
      </c>
      <c r="Z34" s="144">
        <v>2</v>
      </c>
      <c r="AB34" s="47" t="s">
        <v>66</v>
      </c>
    </row>
    <row r="35" spans="2:28" x14ac:dyDescent="0.35">
      <c r="B35" s="7"/>
      <c r="C35" s="29" t="s">
        <v>54</v>
      </c>
      <c r="D35" s="36">
        <f>calTotal!D35</f>
        <v>0</v>
      </c>
      <c r="E35" s="1"/>
      <c r="F35" s="186"/>
      <c r="G35" s="22">
        <f>calTotal!G35</f>
        <v>3.3</v>
      </c>
      <c r="H35" s="49">
        <f>calTotal!H35</f>
        <v>0</v>
      </c>
      <c r="I35" s="49">
        <f t="shared" si="0"/>
        <v>0</v>
      </c>
      <c r="J35" s="8"/>
      <c r="V35" s="137" t="s">
        <v>301</v>
      </c>
      <c r="W35" s="142">
        <v>10</v>
      </c>
      <c r="X35"/>
      <c r="Y35" s="138" t="s">
        <v>302</v>
      </c>
      <c r="Z35" s="144">
        <v>5</v>
      </c>
      <c r="AB35" s="1"/>
    </row>
    <row r="36" spans="2:28" x14ac:dyDescent="0.35">
      <c r="B36" s="7"/>
      <c r="C36" s="29" t="s">
        <v>55</v>
      </c>
      <c r="D36" s="49">
        <f>calTotal!D36</f>
        <v>0</v>
      </c>
      <c r="E36" s="1"/>
      <c r="F36" s="37" t="s">
        <v>56</v>
      </c>
      <c r="G36" s="22">
        <f>calTotal!G36</f>
        <v>1.2</v>
      </c>
      <c r="H36" s="49">
        <f>calTotal!H36</f>
        <v>0</v>
      </c>
      <c r="I36" s="49">
        <f t="shared" si="0"/>
        <v>0</v>
      </c>
      <c r="J36" s="46"/>
      <c r="V36" s="137" t="s">
        <v>303</v>
      </c>
      <c r="W36" s="88">
        <v>2</v>
      </c>
      <c r="X36"/>
      <c r="Y36" s="138" t="s">
        <v>304</v>
      </c>
      <c r="Z36" s="144">
        <v>5</v>
      </c>
      <c r="AB36" s="55" t="s">
        <v>144</v>
      </c>
    </row>
    <row r="37" spans="2:28" x14ac:dyDescent="0.35">
      <c r="B37" s="7"/>
      <c r="C37" s="37" t="s">
        <v>57</v>
      </c>
      <c r="D37" s="49">
        <f>calTotal!D37</f>
        <v>0</v>
      </c>
      <c r="E37" s="1"/>
      <c r="F37" s="37" t="s">
        <v>58</v>
      </c>
      <c r="G37" s="22">
        <f>calTotal!G37</f>
        <v>1.2</v>
      </c>
      <c r="H37" s="49">
        <f>calTotal!H37</f>
        <v>0</v>
      </c>
      <c r="I37" s="49">
        <f t="shared" si="0"/>
        <v>0</v>
      </c>
      <c r="J37" s="46"/>
      <c r="V37" s="137" t="s">
        <v>305</v>
      </c>
      <c r="W37" s="142">
        <v>10</v>
      </c>
      <c r="X37"/>
      <c r="Y37" s="138" t="s">
        <v>306</v>
      </c>
      <c r="Z37" s="144">
        <v>5</v>
      </c>
      <c r="AB37" s="79" t="s">
        <v>282</v>
      </c>
    </row>
    <row r="38" spans="2:28" ht="23.5" x14ac:dyDescent="0.55000000000000004">
      <c r="B38" s="7"/>
      <c r="C38" s="38" t="s">
        <v>59</v>
      </c>
      <c r="D38" s="39">
        <f>calTotal!D38</f>
        <v>1573.4322784852991</v>
      </c>
      <c r="E38" s="1"/>
      <c r="F38" s="37" t="s">
        <v>60</v>
      </c>
      <c r="G38" s="22">
        <f>calTotal!G38</f>
        <v>2.5</v>
      </c>
      <c r="H38" s="49">
        <f>calTotal!H38</f>
        <v>0</v>
      </c>
      <c r="I38" s="49">
        <f t="shared" si="0"/>
        <v>0</v>
      </c>
      <c r="J38" s="46"/>
      <c r="V38" s="137" t="s">
        <v>307</v>
      </c>
      <c r="W38" s="88">
        <v>2</v>
      </c>
      <c r="Y38" s="138" t="s">
        <v>308</v>
      </c>
      <c r="Z38" s="144" t="s">
        <v>121</v>
      </c>
      <c r="AB38" s="79" t="s">
        <v>161</v>
      </c>
    </row>
    <row r="39" spans="2:28" x14ac:dyDescent="0.35">
      <c r="B39" s="7"/>
      <c r="C39" s="1"/>
      <c r="D39" s="1"/>
      <c r="E39" s="1"/>
      <c r="F39" s="37" t="s">
        <v>21</v>
      </c>
      <c r="G39" s="22" t="str">
        <f>calTotal!G39</f>
        <v>-</v>
      </c>
      <c r="H39" s="49">
        <f>calTotal!H39</f>
        <v>0</v>
      </c>
      <c r="I39" s="49">
        <f>IF(G39="-",0,H39/G39)</f>
        <v>0</v>
      </c>
      <c r="J39" s="8"/>
      <c r="V39" s="137" t="s">
        <v>309</v>
      </c>
      <c r="W39" s="142">
        <v>2</v>
      </c>
      <c r="Y39" s="138" t="s">
        <v>310</v>
      </c>
      <c r="Z39" s="144">
        <v>1.2</v>
      </c>
      <c r="AB39" s="1"/>
    </row>
    <row r="40" spans="2:28" x14ac:dyDescent="0.35">
      <c r="B40" s="7"/>
      <c r="C40" s="1"/>
      <c r="D40" s="1"/>
      <c r="E40" s="1"/>
      <c r="F40" s="1"/>
      <c r="G40" s="1"/>
      <c r="H40" s="1"/>
      <c r="I40" s="1"/>
      <c r="J40" s="8"/>
      <c r="V40" s="137" t="s">
        <v>311</v>
      </c>
      <c r="W40" s="88">
        <v>1</v>
      </c>
      <c r="Y40" s="119" t="s">
        <v>312</v>
      </c>
      <c r="Z40" s="149">
        <v>1</v>
      </c>
      <c r="AB40" s="139" t="s">
        <v>171</v>
      </c>
    </row>
    <row r="41" spans="2:28" ht="23.5" x14ac:dyDescent="0.55000000000000004">
      <c r="B41" s="7"/>
      <c r="C41" s="38" t="s">
        <v>62</v>
      </c>
      <c r="D41" s="39">
        <f>calTotal!D41</f>
        <v>125.39099235303432</v>
      </c>
      <c r="E41" s="1"/>
      <c r="F41" s="1"/>
      <c r="G41" s="1"/>
      <c r="H41" s="1"/>
      <c r="I41" s="1"/>
      <c r="J41" s="8"/>
      <c r="V41" s="137" t="s">
        <v>313</v>
      </c>
      <c r="W41" s="142">
        <v>100</v>
      </c>
      <c r="AB41" s="79" t="s">
        <v>190</v>
      </c>
    </row>
    <row r="42" spans="2:28" ht="28.5" x14ac:dyDescent="0.65">
      <c r="B42" s="7"/>
      <c r="C42" s="40" t="s">
        <v>333</v>
      </c>
      <c r="D42" s="41">
        <f>calTotal!D42</f>
        <v>1698.8232708383334</v>
      </c>
      <c r="E42" s="1"/>
      <c r="F42" s="1"/>
      <c r="G42" s="1"/>
      <c r="H42" s="1"/>
      <c r="I42" s="1"/>
      <c r="J42" s="8"/>
      <c r="V42" s="137" t="s">
        <v>314</v>
      </c>
      <c r="W42" s="88">
        <v>10</v>
      </c>
      <c r="AB42" s="79" t="s">
        <v>193</v>
      </c>
    </row>
    <row r="43" spans="2:28" ht="15" thickBot="1" x14ac:dyDescent="0.4">
      <c r="B43" s="9"/>
      <c r="C43" s="10"/>
      <c r="D43" s="10"/>
      <c r="E43" s="10"/>
      <c r="F43" s="10"/>
      <c r="G43" s="10"/>
      <c r="H43" s="10"/>
      <c r="I43" s="10"/>
      <c r="J43" s="11"/>
      <c r="V43" s="119" t="s">
        <v>315</v>
      </c>
      <c r="W43" s="142">
        <v>0</v>
      </c>
      <c r="AB43" s="79" t="s">
        <v>194</v>
      </c>
    </row>
    <row r="44" spans="2:28" hidden="1" x14ac:dyDescent="0.35">
      <c r="B44" s="1"/>
      <c r="C44" s="1"/>
      <c r="D44" s="1"/>
      <c r="E44" s="1"/>
      <c r="F44" s="1"/>
      <c r="G44" s="1"/>
      <c r="H44" s="1"/>
      <c r="I44" s="1"/>
      <c r="J44" s="1"/>
      <c r="AB44" s="79" t="s">
        <v>195</v>
      </c>
    </row>
    <row r="45" spans="2:28" hidden="1" x14ac:dyDescent="0.35">
      <c r="B45" s="1"/>
      <c r="C45" s="12"/>
      <c r="D45" s="23"/>
      <c r="E45" s="1"/>
      <c r="F45" s="1"/>
      <c r="G45" s="1"/>
      <c r="H45" s="13"/>
      <c r="I45" s="1"/>
      <c r="J45" s="1"/>
      <c r="AB45" s="79" t="s">
        <v>26</v>
      </c>
    </row>
    <row r="46" spans="2:28" hidden="1" x14ac:dyDescent="0.35">
      <c r="B46" s="1"/>
      <c r="C46" s="19"/>
      <c r="D46" s="1"/>
      <c r="E46" s="1"/>
      <c r="F46" s="1"/>
      <c r="G46" s="1"/>
      <c r="H46" s="13"/>
      <c r="I46" s="1"/>
      <c r="J46" s="1"/>
      <c r="AB46" s="1"/>
    </row>
    <row r="47" spans="2:28" hidden="1" x14ac:dyDescent="0.35">
      <c r="B47" s="1"/>
      <c r="C47" s="19"/>
      <c r="D47" s="1"/>
      <c r="E47" s="1"/>
      <c r="F47" s="1"/>
      <c r="G47" s="1"/>
      <c r="H47" s="13"/>
      <c r="I47" s="1"/>
      <c r="J47" s="1"/>
      <c r="AB47" s="55" t="s">
        <v>172</v>
      </c>
    </row>
    <row r="48" spans="2:28" hidden="1" x14ac:dyDescent="0.35">
      <c r="B48" s="1"/>
      <c r="C48" s="1"/>
      <c r="D48" s="1"/>
      <c r="E48" s="1"/>
      <c r="F48" s="1"/>
      <c r="G48" s="1"/>
      <c r="H48" s="1"/>
      <c r="I48" s="1"/>
      <c r="J48" s="1"/>
      <c r="AB48" s="79" t="s">
        <v>191</v>
      </c>
    </row>
    <row r="49" spans="2:28" hidden="1" x14ac:dyDescent="0.35">
      <c r="B49" s="1"/>
      <c r="C49" s="1"/>
      <c r="D49" s="1"/>
      <c r="E49" s="1"/>
      <c r="F49" s="1"/>
      <c r="G49" s="1"/>
      <c r="H49" s="1"/>
      <c r="I49" s="1"/>
      <c r="J49" s="1"/>
      <c r="AB49" s="79" t="s">
        <v>316</v>
      </c>
    </row>
    <row r="50" spans="2:28" hidden="1" x14ac:dyDescent="0.35">
      <c r="B50" s="1"/>
      <c r="C50" s="1"/>
      <c r="D50" s="1"/>
      <c r="E50" s="1"/>
      <c r="F50" s="1"/>
      <c r="G50" s="1"/>
      <c r="H50" s="1"/>
      <c r="I50" s="1"/>
      <c r="J50" s="1"/>
      <c r="AB50" s="1"/>
    </row>
    <row r="51" spans="2:28" hidden="1" x14ac:dyDescent="0.35">
      <c r="B51" s="1"/>
      <c r="C51" s="187"/>
      <c r="D51" s="187"/>
      <c r="E51" s="1"/>
      <c r="F51" s="1"/>
      <c r="G51" s="1"/>
      <c r="H51" s="1"/>
      <c r="I51" s="1"/>
      <c r="J51" s="1"/>
      <c r="AB51" s="55" t="s">
        <v>173</v>
      </c>
    </row>
    <row r="52" spans="2:28" ht="26" hidden="1" x14ac:dyDescent="0.6">
      <c r="B52" s="1"/>
      <c r="C52" s="59"/>
      <c r="D52" s="12"/>
      <c r="E52" s="1"/>
      <c r="F52" s="1"/>
      <c r="G52" s="1"/>
      <c r="H52" s="27"/>
      <c r="I52" s="1"/>
      <c r="J52" s="1"/>
      <c r="AB52" s="79" t="s">
        <v>192</v>
      </c>
    </row>
    <row r="53" spans="2:28" ht="23.5" hidden="1" x14ac:dyDescent="0.55000000000000004">
      <c r="B53" s="1"/>
      <c r="C53" s="59"/>
      <c r="D53" s="12"/>
      <c r="E53" s="1"/>
      <c r="F53" s="1"/>
      <c r="G53" s="1"/>
      <c r="H53" s="28"/>
      <c r="I53" s="1"/>
      <c r="J53" s="1"/>
      <c r="AB53" s="1"/>
    </row>
    <row r="54" spans="2:28" hidden="1" x14ac:dyDescent="0.35">
      <c r="B54" s="1"/>
      <c r="C54" s="59"/>
      <c r="D54" s="12"/>
      <c r="E54" s="1"/>
      <c r="F54" s="1"/>
      <c r="G54" s="1"/>
      <c r="H54" s="1"/>
      <c r="I54" s="1"/>
      <c r="J54" s="1"/>
      <c r="AB54" s="139" t="s">
        <v>296</v>
      </c>
    </row>
    <row r="55" spans="2:28" hidden="1" x14ac:dyDescent="0.35">
      <c r="B55" s="1"/>
      <c r="C55" s="59"/>
      <c r="D55" s="1"/>
      <c r="E55" s="1"/>
      <c r="F55" s="1"/>
      <c r="G55" s="1"/>
      <c r="H55" s="1"/>
      <c r="I55" s="1"/>
      <c r="J55" s="1"/>
      <c r="AB55" s="79" t="s">
        <v>122</v>
      </c>
    </row>
    <row r="56" spans="2:28" hidden="1" x14ac:dyDescent="0.35">
      <c r="B56" s="1"/>
      <c r="C56" s="1"/>
      <c r="D56" s="1"/>
      <c r="E56" s="1"/>
      <c r="F56" s="1"/>
      <c r="G56" s="1"/>
      <c r="H56" s="1"/>
      <c r="I56" s="1"/>
      <c r="J56" s="1"/>
      <c r="AB56" s="79" t="s">
        <v>123</v>
      </c>
    </row>
    <row r="57" spans="2:28" hidden="1" x14ac:dyDescent="0.35">
      <c r="B57" s="1"/>
      <c r="C57" s="1"/>
      <c r="D57" s="1"/>
      <c r="E57" s="1"/>
      <c r="F57" s="1"/>
      <c r="G57" s="1"/>
      <c r="H57" s="1"/>
      <c r="I57" s="1"/>
      <c r="J57" s="1"/>
      <c r="AB57" s="79" t="s">
        <v>124</v>
      </c>
    </row>
    <row r="58" spans="2:28" hidden="1" x14ac:dyDescent="0.35">
      <c r="B58" s="1"/>
      <c r="C58" s="1"/>
      <c r="D58" s="1"/>
      <c r="E58" s="1"/>
      <c r="F58" s="1"/>
      <c r="G58" s="1"/>
      <c r="H58" s="1"/>
      <c r="I58" s="1"/>
      <c r="J58" s="1"/>
      <c r="AB58" s="79" t="s">
        <v>125</v>
      </c>
    </row>
    <row r="59" spans="2:28" hidden="1" x14ac:dyDescent="0.35">
      <c r="B59" s="1"/>
      <c r="C59" s="1"/>
      <c r="D59" s="1"/>
      <c r="E59" s="1"/>
      <c r="F59" s="1"/>
      <c r="G59" s="1"/>
      <c r="H59" s="1"/>
      <c r="I59" s="1"/>
      <c r="J59" s="1"/>
      <c r="AB59" s="79" t="s">
        <v>120</v>
      </c>
    </row>
    <row r="60" spans="2:28" hidden="1" x14ac:dyDescent="0.35">
      <c r="B60" s="1"/>
      <c r="C60" s="64"/>
      <c r="D60" s="1"/>
      <c r="E60" s="1"/>
      <c r="F60" s="1"/>
      <c r="G60" s="1"/>
      <c r="H60" s="1"/>
      <c r="I60" s="1"/>
      <c r="J60" s="1"/>
      <c r="AB60" s="80" t="s">
        <v>126</v>
      </c>
    </row>
    <row r="61" spans="2:28" hidden="1" x14ac:dyDescent="0.35">
      <c r="B61" s="1"/>
      <c r="C61" s="64"/>
      <c r="D61" s="188"/>
      <c r="E61" s="188"/>
      <c r="F61" s="188"/>
      <c r="G61" s="188"/>
      <c r="H61" s="188"/>
      <c r="I61" s="188"/>
      <c r="J61" s="188"/>
      <c r="AB61" s="1"/>
    </row>
    <row r="62" spans="2:28" hidden="1" x14ac:dyDescent="0.35">
      <c r="B62" s="1"/>
      <c r="C62" s="64"/>
      <c r="D62" s="188"/>
      <c r="E62" s="188"/>
      <c r="F62" s="188"/>
      <c r="G62" s="188"/>
      <c r="H62" s="188"/>
      <c r="I62" s="188"/>
      <c r="J62" s="188"/>
      <c r="AB62" s="55" t="s">
        <v>298</v>
      </c>
    </row>
    <row r="63" spans="2:28" hidden="1" x14ac:dyDescent="0.35">
      <c r="B63" s="1"/>
      <c r="C63" s="64"/>
      <c r="D63" s="64"/>
      <c r="E63" s="64"/>
      <c r="F63" s="64"/>
      <c r="G63" s="64"/>
      <c r="H63" s="64"/>
      <c r="I63" s="64"/>
      <c r="J63" s="64"/>
      <c r="AB63" s="79">
        <v>0</v>
      </c>
    </row>
    <row r="64" spans="2:28" hidden="1" x14ac:dyDescent="0.35">
      <c r="B64" s="1"/>
      <c r="C64" s="64"/>
      <c r="D64" s="64"/>
      <c r="E64" s="64"/>
      <c r="F64" s="64"/>
      <c r="G64" s="64"/>
      <c r="H64" s="64"/>
      <c r="I64" s="64"/>
      <c r="J64" s="64"/>
      <c r="AB64" s="79">
        <v>1</v>
      </c>
    </row>
    <row r="65" spans="2:28" hidden="1" x14ac:dyDescent="0.35">
      <c r="B65" s="1"/>
      <c r="C65" s="64"/>
      <c r="D65" s="188"/>
      <c r="E65" s="188"/>
      <c r="F65" s="188"/>
      <c r="G65" s="188"/>
      <c r="H65" s="188"/>
      <c r="I65" s="188"/>
      <c r="J65" s="188"/>
      <c r="AB65" s="1"/>
    </row>
    <row r="66" spans="2:28" hidden="1" x14ac:dyDescent="0.35">
      <c r="B66" s="1"/>
      <c r="C66" s="64"/>
      <c r="D66" s="188"/>
      <c r="E66" s="188"/>
      <c r="F66" s="188"/>
      <c r="G66" s="188"/>
      <c r="H66" s="188"/>
      <c r="I66" s="188"/>
      <c r="J66" s="188"/>
      <c r="AB66" s="55" t="s">
        <v>300</v>
      </c>
    </row>
    <row r="67" spans="2:28" hidden="1" x14ac:dyDescent="0.35">
      <c r="B67" s="1"/>
      <c r="C67" s="1"/>
      <c r="D67" s="1"/>
      <c r="E67" s="1"/>
      <c r="F67" s="1"/>
      <c r="G67" s="1"/>
      <c r="H67" s="1"/>
      <c r="I67" s="1"/>
      <c r="J67" s="1"/>
      <c r="AB67" s="79">
        <v>0</v>
      </c>
    </row>
    <row r="68" spans="2:28" hidden="1" x14ac:dyDescent="0.35">
      <c r="B68" s="1"/>
      <c r="C68" s="1"/>
      <c r="D68" s="1"/>
      <c r="E68" s="1"/>
      <c r="F68" s="1"/>
      <c r="G68" s="1"/>
      <c r="H68" s="1"/>
      <c r="I68" s="1"/>
      <c r="J68" s="1"/>
      <c r="AB68" s="79">
        <v>1</v>
      </c>
    </row>
    <row r="69" spans="2:28" hidden="1" x14ac:dyDescent="0.35">
      <c r="B69" s="1"/>
      <c r="C69" s="1"/>
      <c r="D69" s="1"/>
      <c r="E69" s="1"/>
      <c r="F69" s="1"/>
      <c r="G69" s="1"/>
      <c r="H69" s="1"/>
      <c r="I69" s="1"/>
      <c r="J69" s="1"/>
      <c r="AB69" s="79">
        <v>2</v>
      </c>
    </row>
    <row r="70" spans="2:28" hidden="1" x14ac:dyDescent="0.35">
      <c r="B70" s="1"/>
      <c r="C70" s="1"/>
      <c r="D70" s="1"/>
      <c r="E70" s="1"/>
      <c r="F70" s="1"/>
      <c r="G70" s="1"/>
      <c r="H70" s="1"/>
      <c r="I70" s="1"/>
      <c r="J70" s="1"/>
      <c r="AB70" s="79">
        <v>3</v>
      </c>
    </row>
    <row r="71" spans="2:28" hidden="1" x14ac:dyDescent="0.35">
      <c r="B71" s="1"/>
      <c r="C71" s="1"/>
      <c r="D71" s="1"/>
      <c r="E71" s="1"/>
      <c r="F71" s="1"/>
      <c r="G71" s="1"/>
      <c r="H71" s="1"/>
      <c r="I71" s="1"/>
      <c r="J71" s="1"/>
      <c r="AB71" s="1"/>
    </row>
    <row r="72" spans="2:28" hidden="1" x14ac:dyDescent="0.35">
      <c r="B72" s="1"/>
      <c r="C72" s="1"/>
      <c r="D72" s="1"/>
      <c r="E72" s="1"/>
      <c r="F72" s="1"/>
      <c r="G72" s="1"/>
      <c r="H72" s="1"/>
      <c r="I72" s="1"/>
      <c r="J72" s="1"/>
      <c r="AB72" s="55" t="s">
        <v>113</v>
      </c>
    </row>
    <row r="73" spans="2:28" hidden="1" x14ac:dyDescent="0.35">
      <c r="B73" s="1"/>
      <c r="C73" s="1"/>
      <c r="D73" s="1"/>
      <c r="E73" s="1"/>
      <c r="F73" s="1"/>
      <c r="G73" s="1"/>
      <c r="H73" s="1"/>
      <c r="I73" s="1"/>
      <c r="J73" s="1"/>
      <c r="AB73" s="79" t="s">
        <v>121</v>
      </c>
    </row>
    <row r="74" spans="2:28" hidden="1" x14ac:dyDescent="0.35">
      <c r="B74" s="1"/>
      <c r="C74" s="1"/>
      <c r="D74" s="1"/>
      <c r="E74" s="1"/>
      <c r="F74" s="1"/>
      <c r="G74" s="1"/>
      <c r="H74" s="1"/>
      <c r="I74" s="1"/>
      <c r="J74" s="1"/>
      <c r="AB74" s="79" t="s">
        <v>57</v>
      </c>
    </row>
    <row r="75" spans="2:28" hidden="1" x14ac:dyDescent="0.35">
      <c r="B75" s="1"/>
      <c r="C75" s="1"/>
      <c r="D75" s="1"/>
      <c r="E75" s="1"/>
      <c r="F75" s="1"/>
      <c r="G75" s="1"/>
      <c r="H75" s="1"/>
      <c r="I75" s="1"/>
      <c r="J75" s="1"/>
    </row>
    <row r="76" spans="2:28" hidden="1" x14ac:dyDescent="0.35">
      <c r="B76" s="1"/>
      <c r="C76" s="1"/>
      <c r="D76" s="1"/>
      <c r="E76" s="1"/>
      <c r="F76" s="1"/>
      <c r="G76" s="1"/>
      <c r="H76" s="1"/>
      <c r="I76" s="1"/>
      <c r="J76" s="1"/>
    </row>
    <row r="77" spans="2:28" hidden="1" x14ac:dyDescent="0.35">
      <c r="B77" s="1"/>
      <c r="C77" s="189"/>
      <c r="D77" s="189"/>
      <c r="E77" s="189"/>
      <c r="F77" s="189"/>
      <c r="G77" s="189"/>
      <c r="H77" s="189"/>
      <c r="I77" s="189"/>
      <c r="J77" s="1"/>
    </row>
    <row r="78" spans="2:28" hidden="1" x14ac:dyDescent="0.35">
      <c r="B78" s="1"/>
      <c r="C78" s="123"/>
      <c r="D78" s="123"/>
      <c r="E78" s="123"/>
      <c r="F78" s="123"/>
      <c r="G78" s="123"/>
      <c r="H78" s="123"/>
      <c r="I78" s="123"/>
      <c r="J78" s="1"/>
    </row>
    <row r="79" spans="2:28" hidden="1" x14ac:dyDescent="0.35">
      <c r="B79" s="1"/>
      <c r="C79" s="1"/>
      <c r="D79" s="1"/>
      <c r="E79" s="1"/>
      <c r="F79" s="1"/>
      <c r="G79" s="1"/>
      <c r="H79" s="1"/>
      <c r="I79" s="1"/>
      <c r="J79" s="1"/>
    </row>
    <row r="80" spans="2:28" hidden="1" x14ac:dyDescent="0.35">
      <c r="B80" s="1"/>
      <c r="C80" s="1"/>
      <c r="D80" s="1"/>
      <c r="E80" s="1"/>
      <c r="F80" s="1"/>
      <c r="G80" s="1"/>
      <c r="H80" s="1"/>
      <c r="I80" s="1"/>
      <c r="J80" s="1"/>
    </row>
    <row r="81" spans="2:10" hidden="1" x14ac:dyDescent="0.35">
      <c r="B81" s="1"/>
      <c r="C81" s="1"/>
      <c r="D81" s="1"/>
      <c r="E81" s="1"/>
      <c r="F81" s="1"/>
      <c r="G81" s="1"/>
      <c r="H81" s="1"/>
      <c r="I81" s="1"/>
      <c r="J81" s="1"/>
    </row>
    <row r="82" spans="2:10" hidden="1" x14ac:dyDescent="0.35">
      <c r="B82" s="1"/>
      <c r="C82" s="1"/>
      <c r="D82" s="1"/>
      <c r="E82" s="1"/>
      <c r="F82" s="1"/>
      <c r="G82" s="1"/>
      <c r="H82" s="1"/>
      <c r="I82" s="1"/>
      <c r="J82" s="1"/>
    </row>
    <row r="83" spans="2:10" hidden="1" x14ac:dyDescent="0.35">
      <c r="B83" s="1"/>
      <c r="C83" s="1"/>
      <c r="D83" s="1"/>
      <c r="E83" s="1"/>
      <c r="F83" s="1"/>
      <c r="G83" s="1"/>
      <c r="H83" s="1"/>
      <c r="I83" s="1"/>
      <c r="J83" s="1"/>
    </row>
    <row r="84" spans="2:10" hidden="1" x14ac:dyDescent="0.35">
      <c r="B84" s="1"/>
      <c r="C84" s="1"/>
      <c r="D84" s="1"/>
      <c r="E84" s="1"/>
      <c r="F84" s="1"/>
      <c r="G84" s="1"/>
      <c r="H84" s="1"/>
      <c r="I84" s="1"/>
      <c r="J84" s="1"/>
    </row>
    <row r="85" spans="2:10" hidden="1" x14ac:dyDescent="0.35">
      <c r="B85" s="7"/>
      <c r="C85" s="1"/>
      <c r="D85" s="30" t="s">
        <v>16</v>
      </c>
      <c r="E85" s="31">
        <f>calTotal!E85</f>
        <v>5.8753894579513712</v>
      </c>
      <c r="F85" s="1"/>
      <c r="G85" s="1"/>
      <c r="H85" s="1"/>
      <c r="I85" s="1"/>
      <c r="J85" s="8"/>
    </row>
    <row r="86" spans="2:10" hidden="1" x14ac:dyDescent="0.35">
      <c r="B86" s="7"/>
      <c r="C86" s="1"/>
      <c r="D86" s="1"/>
      <c r="E86" s="1"/>
      <c r="F86" s="1"/>
      <c r="G86" s="1"/>
      <c r="H86" s="1"/>
      <c r="I86" s="1"/>
      <c r="J86" s="8"/>
    </row>
    <row r="87" spans="2:10" hidden="1" x14ac:dyDescent="0.35">
      <c r="B87" s="7"/>
      <c r="C87" s="1"/>
      <c r="D87" s="32"/>
      <c r="E87" s="1"/>
      <c r="F87" s="1"/>
      <c r="G87" s="1"/>
      <c r="H87" s="1"/>
      <c r="I87" s="1"/>
      <c r="J87" s="8"/>
    </row>
    <row r="88" spans="2:10" hidden="1" x14ac:dyDescent="0.35">
      <c r="B88" s="7"/>
      <c r="C88" s="1"/>
      <c r="D88" s="174" t="s">
        <v>19</v>
      </c>
      <c r="E88" s="174"/>
      <c r="F88" s="174"/>
      <c r="G88" s="33"/>
      <c r="I88" s="1"/>
      <c r="J88" s="8"/>
    </row>
    <row r="89" spans="2:10" hidden="1" x14ac:dyDescent="0.35">
      <c r="B89" s="7"/>
      <c r="C89" s="1"/>
      <c r="D89" s="68" t="s">
        <v>20</v>
      </c>
      <c r="E89" s="178">
        <v>25</v>
      </c>
      <c r="F89" s="178"/>
      <c r="G89" s="1"/>
      <c r="H89" s="1"/>
      <c r="I89" s="1"/>
      <c r="J89" s="8"/>
    </row>
    <row r="90" spans="2:10" hidden="1" x14ac:dyDescent="0.35">
      <c r="B90" s="7"/>
      <c r="C90" s="1"/>
      <c r="D90" s="29" t="s">
        <v>23</v>
      </c>
      <c r="E90" s="179" t="s">
        <v>277</v>
      </c>
      <c r="F90" s="179"/>
      <c r="G90" s="1"/>
      <c r="H90" s="1"/>
      <c r="I90" s="1"/>
      <c r="J90" s="8"/>
    </row>
    <row r="91" spans="2:10" hidden="1" x14ac:dyDescent="0.35">
      <c r="B91" s="7"/>
      <c r="C91" s="1"/>
      <c r="D91" s="29" t="s">
        <v>25</v>
      </c>
      <c r="E91" s="167" t="s">
        <v>26</v>
      </c>
      <c r="F91" s="168"/>
      <c r="G91" s="1"/>
      <c r="H91" s="1"/>
      <c r="I91" s="1"/>
      <c r="J91" s="8"/>
    </row>
    <row r="92" spans="2:10" hidden="1" x14ac:dyDescent="0.35">
      <c r="B92" s="7"/>
      <c r="C92" s="1"/>
      <c r="D92" s="29" t="s">
        <v>28</v>
      </c>
      <c r="E92" s="166" t="s">
        <v>29</v>
      </c>
      <c r="F92" s="166"/>
      <c r="G92" s="1"/>
      <c r="H92" s="1"/>
      <c r="I92" s="1"/>
      <c r="J92" s="8"/>
    </row>
    <row r="93" spans="2:10" hidden="1" x14ac:dyDescent="0.35">
      <c r="B93" s="7"/>
      <c r="C93" s="1"/>
      <c r="D93" s="29" t="s">
        <v>30</v>
      </c>
      <c r="E93" s="169">
        <v>50</v>
      </c>
      <c r="F93" s="170"/>
      <c r="G93" s="1"/>
      <c r="H93" s="1"/>
      <c r="I93" s="1"/>
      <c r="J93" s="8"/>
    </row>
    <row r="94" spans="2:10" ht="15" hidden="1" customHeight="1" x14ac:dyDescent="0.35">
      <c r="B94" s="7"/>
      <c r="C94" s="1"/>
      <c r="D94" s="29" t="s">
        <v>30</v>
      </c>
      <c r="E94" s="176">
        <f>calTotal!E94</f>
        <v>51.255499999999998</v>
      </c>
      <c r="F94" s="176"/>
      <c r="G94" s="1"/>
      <c r="H94" s="1"/>
      <c r="I94" s="1"/>
      <c r="J94" s="8"/>
    </row>
    <row r="95" spans="2:10" hidden="1" x14ac:dyDescent="0.35">
      <c r="B95" s="7"/>
      <c r="C95" s="1"/>
      <c r="D95" s="29" t="s">
        <v>31</v>
      </c>
      <c r="E95" s="176">
        <f>calTotal!E95</f>
        <v>111.34211007871819</v>
      </c>
      <c r="F95" s="176"/>
      <c r="G95" s="1"/>
      <c r="H95" s="1"/>
      <c r="I95" s="1"/>
      <c r="J95" s="8"/>
    </row>
    <row r="96" spans="2:10" hidden="1" x14ac:dyDescent="0.35">
      <c r="B96" s="7"/>
      <c r="C96" s="1"/>
      <c r="D96" s="29" t="s">
        <v>32</v>
      </c>
      <c r="E96" s="176">
        <f>calTotal!E96</f>
        <v>5.7905565674420245</v>
      </c>
      <c r="F96" s="190"/>
      <c r="G96" s="1"/>
      <c r="H96" s="1"/>
      <c r="I96" s="1"/>
      <c r="J96" s="8"/>
    </row>
    <row r="97" spans="2:10" hidden="1" x14ac:dyDescent="0.35">
      <c r="B97" s="7"/>
      <c r="C97" s="1"/>
      <c r="D97" s="32"/>
      <c r="E97" s="18"/>
      <c r="F97" s="12"/>
      <c r="G97" s="1"/>
      <c r="H97" s="1"/>
      <c r="I97" s="1"/>
      <c r="J97" s="8"/>
    </row>
    <row r="98" spans="2:10" ht="18.5" hidden="1" x14ac:dyDescent="0.45">
      <c r="B98" s="7"/>
      <c r="C98" s="65" t="s">
        <v>33</v>
      </c>
      <c r="D98" s="63"/>
      <c r="E98" s="66"/>
      <c r="F98" s="66"/>
      <c r="G98" s="63"/>
      <c r="H98" s="63"/>
      <c r="I98" s="67"/>
      <c r="J98" s="8"/>
    </row>
    <row r="99" spans="2:10" ht="42.65" hidden="1" customHeight="1" x14ac:dyDescent="0.35">
      <c r="B99" s="7"/>
      <c r="C99" s="183" t="str">
        <f>calTotal!C26</f>
        <v>Device junction temperature exceeds the maximum operating temperature based on the selected grade . Please reduce the ambient temperature or improve cooling solution to your system. Please consult Efinix Application Engineer for more suggestion on the thermal solutions.</v>
      </c>
      <c r="D99" s="184"/>
      <c r="E99" s="184"/>
      <c r="F99" s="184"/>
      <c r="G99" s="184"/>
      <c r="H99" s="184"/>
      <c r="I99" s="185"/>
      <c r="J99" s="8"/>
    </row>
    <row r="100" spans="2:10" hidden="1" x14ac:dyDescent="0.35">
      <c r="B100" s="7"/>
      <c r="C100" s="1"/>
      <c r="D100" s="1"/>
      <c r="E100" s="1"/>
      <c r="F100" s="1"/>
      <c r="G100" s="1"/>
      <c r="H100" s="1"/>
      <c r="I100" s="1"/>
      <c r="J100" s="8"/>
    </row>
    <row r="101" spans="2:10" hidden="1" x14ac:dyDescent="0.35">
      <c r="B101" s="7"/>
      <c r="C101" s="174" t="s">
        <v>34</v>
      </c>
      <c r="D101" s="174"/>
      <c r="E101" s="1"/>
      <c r="F101" s="174" t="s">
        <v>35</v>
      </c>
      <c r="G101" s="174"/>
      <c r="H101" s="174"/>
      <c r="I101" s="174"/>
      <c r="J101" s="8"/>
    </row>
    <row r="102" spans="2:10" hidden="1" x14ac:dyDescent="0.35">
      <c r="B102" s="7"/>
      <c r="C102" s="29" t="s">
        <v>36</v>
      </c>
      <c r="D102" s="35" t="s">
        <v>37</v>
      </c>
      <c r="E102" s="1"/>
      <c r="F102" s="186" t="s">
        <v>38</v>
      </c>
      <c r="G102" s="186" t="s">
        <v>39</v>
      </c>
      <c r="H102" s="186" t="s">
        <v>40</v>
      </c>
      <c r="I102" s="186" t="s">
        <v>41</v>
      </c>
      <c r="J102" s="8"/>
    </row>
    <row r="103" spans="2:10" hidden="1" x14ac:dyDescent="0.35">
      <c r="B103" s="7"/>
      <c r="C103" s="34" t="s">
        <v>44</v>
      </c>
      <c r="D103" s="36">
        <f>calTotal!D103</f>
        <v>947.24986291199991</v>
      </c>
      <c r="E103" s="1"/>
      <c r="F103" s="186"/>
      <c r="G103" s="186"/>
      <c r="H103" s="186"/>
      <c r="I103" s="186"/>
      <c r="J103" s="8"/>
    </row>
    <row r="104" spans="2:10" hidden="1" x14ac:dyDescent="0.35">
      <c r="B104" s="7"/>
      <c r="C104" s="34" t="s">
        <v>45</v>
      </c>
      <c r="D104" s="36">
        <f>calTotal!D104</f>
        <v>430.18581600000005</v>
      </c>
      <c r="E104" s="1"/>
      <c r="F104" s="37" t="s">
        <v>24</v>
      </c>
      <c r="G104" s="22">
        <f>calTotal!G104</f>
        <v>1.2</v>
      </c>
      <c r="H104" s="49">
        <f>calTotal!H104</f>
        <v>1684.5433188383333</v>
      </c>
      <c r="I104" s="49">
        <f t="shared" ref="I104:I111" si="1">H104/G104</f>
        <v>1403.7860990319446</v>
      </c>
      <c r="J104" s="8"/>
    </row>
    <row r="105" spans="2:10" hidden="1" x14ac:dyDescent="0.35">
      <c r="B105" s="7"/>
      <c r="C105" s="34" t="s">
        <v>47</v>
      </c>
      <c r="D105" s="36">
        <f>calTotal!D105</f>
        <v>128.24183087999998</v>
      </c>
      <c r="E105" s="1"/>
      <c r="F105" s="37" t="s">
        <v>48</v>
      </c>
      <c r="G105" s="22">
        <f>calTotal!G105</f>
        <v>1.2</v>
      </c>
      <c r="H105" s="49">
        <f>calTotal!H105</f>
        <v>0</v>
      </c>
      <c r="I105" s="49">
        <f t="shared" si="1"/>
        <v>0</v>
      </c>
      <c r="J105" s="8"/>
    </row>
    <row r="106" spans="2:10" hidden="1" x14ac:dyDescent="0.35">
      <c r="B106" s="7"/>
      <c r="C106" s="34" t="s">
        <v>50</v>
      </c>
      <c r="D106" s="36">
        <f>calTotal!D106</f>
        <v>0</v>
      </c>
      <c r="E106" s="1"/>
      <c r="F106" s="186" t="s">
        <v>51</v>
      </c>
      <c r="G106" s="22">
        <f>calTotal!G106</f>
        <v>1.8</v>
      </c>
      <c r="H106" s="49">
        <f>calTotal!H106</f>
        <v>0</v>
      </c>
      <c r="I106" s="49">
        <f t="shared" si="1"/>
        <v>0</v>
      </c>
      <c r="J106" s="8"/>
    </row>
    <row r="107" spans="2:10" hidden="1" x14ac:dyDescent="0.35">
      <c r="B107" s="7"/>
      <c r="C107" s="29" t="s">
        <v>53</v>
      </c>
      <c r="D107" s="49">
        <f>calTotal!D107</f>
        <v>67.754768693299212</v>
      </c>
      <c r="E107" s="1"/>
      <c r="F107" s="186"/>
      <c r="G107" s="22">
        <f>calTotal!G107</f>
        <v>2.5</v>
      </c>
      <c r="H107" s="49">
        <f>calTotal!H107</f>
        <v>0</v>
      </c>
      <c r="I107" s="49">
        <f t="shared" si="1"/>
        <v>0</v>
      </c>
      <c r="J107" s="8"/>
    </row>
    <row r="108" spans="2:10" hidden="1" x14ac:dyDescent="0.35">
      <c r="B108" s="7"/>
      <c r="C108" s="29" t="s">
        <v>54</v>
      </c>
      <c r="D108" s="49">
        <f>calTotal!D108</f>
        <v>0</v>
      </c>
      <c r="E108" s="1"/>
      <c r="F108" s="186"/>
      <c r="G108" s="22">
        <f>calTotal!G108</f>
        <v>3.3</v>
      </c>
      <c r="H108" s="49">
        <f>calTotal!H108</f>
        <v>6.6000000000000003E-2</v>
      </c>
      <c r="I108" s="49">
        <f t="shared" si="1"/>
        <v>0.02</v>
      </c>
      <c r="J108" s="8"/>
    </row>
    <row r="109" spans="2:10" hidden="1" x14ac:dyDescent="0.35">
      <c r="B109" s="69"/>
      <c r="C109" s="29" t="s">
        <v>55</v>
      </c>
      <c r="D109" s="49">
        <f>calTotal!D109</f>
        <v>0</v>
      </c>
      <c r="E109" s="1"/>
      <c r="F109" s="37" t="s">
        <v>56</v>
      </c>
      <c r="G109" s="22">
        <f>calTotal!G109</f>
        <v>1.2</v>
      </c>
      <c r="H109" s="49">
        <f>calTotal!H109</f>
        <v>0</v>
      </c>
      <c r="I109" s="49">
        <f t="shared" si="1"/>
        <v>0</v>
      </c>
      <c r="J109" s="46"/>
    </row>
    <row r="110" spans="2:10" hidden="1" x14ac:dyDescent="0.35">
      <c r="B110" s="69"/>
      <c r="C110" s="29" t="s">
        <v>325</v>
      </c>
      <c r="D110" s="152">
        <f>calTotal!D110</f>
        <v>0</v>
      </c>
      <c r="E110" s="1"/>
      <c r="F110" s="37" t="s">
        <v>58</v>
      </c>
      <c r="G110" s="22">
        <f>calTotal!G110</f>
        <v>1.2</v>
      </c>
      <c r="H110" s="49">
        <f>calTotal!H110</f>
        <v>0</v>
      </c>
      <c r="I110" s="49">
        <f t="shared" si="1"/>
        <v>0</v>
      </c>
      <c r="J110" s="46"/>
    </row>
    <row r="111" spans="2:10" ht="23.5" hidden="1" x14ac:dyDescent="0.55000000000000004">
      <c r="B111" s="69"/>
      <c r="C111" s="38" t="s">
        <v>59</v>
      </c>
      <c r="D111" s="39">
        <f>calTotal!D111</f>
        <v>1573.4322784852991</v>
      </c>
      <c r="E111" s="1"/>
      <c r="F111" s="37" t="s">
        <v>60</v>
      </c>
      <c r="G111" s="22">
        <f>calTotal!G111</f>
        <v>2.5</v>
      </c>
      <c r="H111" s="49">
        <f>calTotal!H111</f>
        <v>0</v>
      </c>
      <c r="I111" s="49">
        <f t="shared" si="1"/>
        <v>0</v>
      </c>
      <c r="J111" s="46"/>
    </row>
    <row r="112" spans="2:10" hidden="1" x14ac:dyDescent="0.35">
      <c r="B112" s="7"/>
      <c r="C112" s="1"/>
      <c r="D112" s="1"/>
      <c r="E112" s="1"/>
      <c r="F112" s="1"/>
      <c r="G112" s="1"/>
      <c r="H112" s="1"/>
      <c r="I112" s="1"/>
      <c r="J112" s="8"/>
    </row>
    <row r="113" spans="2:10" hidden="1" x14ac:dyDescent="0.35">
      <c r="B113" s="7"/>
      <c r="C113" s="1"/>
      <c r="D113" s="1"/>
      <c r="E113" s="1"/>
      <c r="F113" s="1"/>
      <c r="G113" s="1"/>
      <c r="H113" s="1"/>
      <c r="I113" s="1"/>
      <c r="J113" s="8"/>
    </row>
    <row r="114" spans="2:10" ht="23.5" hidden="1" x14ac:dyDescent="0.55000000000000004">
      <c r="B114" s="7"/>
      <c r="C114" s="38" t="s">
        <v>62</v>
      </c>
      <c r="D114" s="39">
        <f>calTotal!D114</f>
        <v>111.17704035303431</v>
      </c>
      <c r="E114" s="1"/>
      <c r="F114" s="1"/>
      <c r="G114" s="1"/>
      <c r="H114" s="1"/>
      <c r="I114" s="1"/>
      <c r="J114" s="8"/>
    </row>
    <row r="115" spans="2:10" ht="28.5" hidden="1" x14ac:dyDescent="0.65">
      <c r="B115" s="7"/>
      <c r="C115" s="40" t="s">
        <v>333</v>
      </c>
      <c r="D115" s="41">
        <f>calTotal!D115</f>
        <v>1684.6093188383334</v>
      </c>
      <c r="E115" s="1"/>
      <c r="F115" s="1"/>
      <c r="G115" s="1"/>
      <c r="H115" s="1"/>
      <c r="I115" s="1"/>
      <c r="J115" s="8"/>
    </row>
    <row r="116" spans="2:10" ht="15" hidden="1" thickBot="1" x14ac:dyDescent="0.4">
      <c r="B116" s="9"/>
      <c r="C116" s="10"/>
      <c r="D116" s="10"/>
      <c r="E116" s="10"/>
      <c r="F116" s="10"/>
      <c r="G116" s="10"/>
      <c r="H116" s="10"/>
      <c r="I116" s="10"/>
      <c r="J116" s="11"/>
    </row>
    <row r="117" spans="2:10" x14ac:dyDescent="0.35">
      <c r="B117" s="1"/>
      <c r="C117" s="1"/>
      <c r="D117" s="1"/>
      <c r="E117" s="1"/>
      <c r="F117" s="1"/>
      <c r="G117" s="1"/>
      <c r="H117" s="1"/>
      <c r="I117" s="1"/>
      <c r="J117" s="1"/>
    </row>
    <row r="118" spans="2:10" ht="18.5" x14ac:dyDescent="0.45">
      <c r="C118" s="153" t="s">
        <v>331</v>
      </c>
    </row>
    <row r="119" spans="2:10" ht="18.5" x14ac:dyDescent="0.45">
      <c r="C119" s="154" t="s">
        <v>332</v>
      </c>
    </row>
  </sheetData>
  <sheetProtection algorithmName="SHA-512" hashValue="fPUiBrpxqpLTwfE/7eXaSVJXEPtK1AXfF7svxain6skc6Cya6A+j4V0OC7ALseDCmZl67GZPpNlKqZp37B43FQ==" saltValue="JMR64cVXrjJ4y+Gxm/tNYg==" spinCount="100000" sheet="1" objects="1" scenarios="1"/>
  <mergeCells count="49">
    <mergeCell ref="F106:F108"/>
    <mergeCell ref="E95:F95"/>
    <mergeCell ref="E96:F96"/>
    <mergeCell ref="C101:D101"/>
    <mergeCell ref="F101:I101"/>
    <mergeCell ref="F102:F103"/>
    <mergeCell ref="G102:G103"/>
    <mergeCell ref="H102:H103"/>
    <mergeCell ref="I102:I103"/>
    <mergeCell ref="C99:I99"/>
    <mergeCell ref="E94:F94"/>
    <mergeCell ref="F33:F35"/>
    <mergeCell ref="C51:D51"/>
    <mergeCell ref="D61:J61"/>
    <mergeCell ref="D62:J62"/>
    <mergeCell ref="E90:F90"/>
    <mergeCell ref="E92:F92"/>
    <mergeCell ref="D65:J65"/>
    <mergeCell ref="D66:J66"/>
    <mergeCell ref="C77:I77"/>
    <mergeCell ref="D88:F88"/>
    <mergeCell ref="E89:F89"/>
    <mergeCell ref="C28:D28"/>
    <mergeCell ref="F28:I28"/>
    <mergeCell ref="F29:F30"/>
    <mergeCell ref="G29:G30"/>
    <mergeCell ref="H29:H30"/>
    <mergeCell ref="I29:I30"/>
    <mergeCell ref="E19:F19"/>
    <mergeCell ref="E20:F20"/>
    <mergeCell ref="E21:F21"/>
    <mergeCell ref="E22:F22"/>
    <mergeCell ref="C26:I26"/>
    <mergeCell ref="E8:F8"/>
    <mergeCell ref="E91:F91"/>
    <mergeCell ref="E93:F93"/>
    <mergeCell ref="B2:J2"/>
    <mergeCell ref="D4:F4"/>
    <mergeCell ref="E5:F5"/>
    <mergeCell ref="E6:F6"/>
    <mergeCell ref="E7:F7"/>
    <mergeCell ref="E23:F23"/>
    <mergeCell ref="E9:F9"/>
    <mergeCell ref="E10:F10"/>
    <mergeCell ref="E11:F11"/>
    <mergeCell ref="D15:F15"/>
    <mergeCell ref="E16:F16"/>
    <mergeCell ref="E17:F17"/>
    <mergeCell ref="E18:F18"/>
  </mergeCells>
  <conditionalFormatting sqref="F36:I38 C36:D36">
    <cfRule type="expression" dxfId="8" priority="6">
      <formula>$E$7="F400"</formula>
    </cfRule>
  </conditionalFormatting>
  <conditionalFormatting sqref="C109:D109 F109:I111">
    <cfRule type="expression" dxfId="7" priority="5">
      <formula>OR($E$7="F256",$E$7="Q100",$E$7="Q144")</formula>
    </cfRule>
  </conditionalFormatting>
  <conditionalFormatting sqref="C110:D110">
    <cfRule type="expression" dxfId="6" priority="1">
      <formula>OR(Package="W80",Package="Q144",Package="F169",Package="F256",Package="F324",Package="F400")</formula>
    </cfRule>
  </conditionalFormatting>
  <dataValidations count="18">
    <dataValidation type="custom" allowBlank="1" showInputMessage="1" showErrorMessage="1" error="Please insert the valid range for selected grade._x000a__x000a_Commercial grade valid from 0c - 85c_x000a__x000a_Industrial grade valid from -40c - 100c_x000a__x000a_Automotive grade valid from -40c - 105c" promptTitle="Ambient Temperature" prompt="Recommend to have ambient temperature not more than the maximum ambient temperature " sqref="E89:F89" xr:uid="{9A7714D7-04F9-4256-A7A4-8994FF9D9D2F}">
      <formula1>IF(Package="Q100",(E89=25),IF(E8="Q4",AND(E89&gt;=-40,E89&lt;=105),IF(E8="I4",AND(E89&gt;=-40,E89&lt;=100),IF(OR(E8="C3",E8="C4"),AND(E89&gt;=0,E89&lt;=85),"Invalid"))))</formula1>
    </dataValidation>
    <dataValidation allowBlank="1" showInputMessage="1" showErrorMessage="1" promptTitle="Maximum ambient temperature" prompt="Maximum Ta that the device subject without violate maximum junction temperature" sqref="G15 G88" xr:uid="{22D39DB2-1767-411C-82FB-B2476F37A83F}"/>
    <dataValidation type="custom" allowBlank="1" showInputMessage="1" showErrorMessage="1" error="Please insert the valid range for selected grade._x000a__x000a_Commercial grade valid from 0c - 85c_x000a__x000a_Industrial grade valid from -40c - 100c_x000a__x000a_Automotive grade valid from -40c - 105c" promptTitle="Ambient Temperature" prompt="Recommend to have ambient temperature less than the maximum ambient temperature " sqref="E16:F16" xr:uid="{A4369557-317D-479F-A175-123137A3EB1D}">
      <formula1>IF(E8="Q4",AND(E16&gt;=-40,E16&lt;=105),IF(E8="I4",AND(E16&gt;=-40,E16&lt;=100),AND(E16&gt;=0,E16&lt;=85)))</formula1>
    </dataValidation>
    <dataValidation type="list" allowBlank="1" showInputMessage="1" showErrorMessage="1" sqref="AB60" xr:uid="{9CE70A5A-4051-4F90-9557-0C7DAEB3D785}">
      <formula1>$H$26:$H$31</formula1>
    </dataValidation>
    <dataValidation type="list" allowBlank="1" showInputMessage="1" showErrorMessage="1" sqref="Z3" xr:uid="{E84085C0-F106-4001-B52E-31857DBCC9A6}">
      <formula1>$AB$4:$AB$10</formula1>
    </dataValidation>
    <dataValidation type="list" allowBlank="1" showInputMessage="1" showErrorMessage="1" sqref="Z38" xr:uid="{08E57CF6-AD51-4ACD-B6DB-4AA0DB32EBEA}">
      <formula1>$AB$73:$AB$74</formula1>
    </dataValidation>
    <dataValidation type="list" allowBlank="1" showInputMessage="1" showErrorMessage="1" sqref="Z34" xr:uid="{6B1A6BCD-B453-43FE-9AC7-C8C440CF50A4}">
      <formula1>$AB$67:$AB$70</formula1>
    </dataValidation>
    <dataValidation type="list" allowBlank="1" showInputMessage="1" showErrorMessage="1" sqref="Z33" xr:uid="{EFB334A5-B3E5-43F9-8DA9-F877A2AF558E}">
      <formula1>$AB$63:$AB$64</formula1>
    </dataValidation>
    <dataValidation type="list" allowBlank="1" showInputMessage="1" showErrorMessage="1" sqref="Z32" xr:uid="{B7716E59-7241-446E-A070-5901F323693D}">
      <formula1>$AB$55:$AB$60</formula1>
    </dataValidation>
    <dataValidation type="list" allowBlank="1" showInputMessage="1" showErrorMessage="1" sqref="Z28" xr:uid="{7FCF4A50-EF28-43F4-A8B9-AE0B20710DEB}">
      <formula1>$AB$48:$AB$49</formula1>
    </dataValidation>
    <dataValidation type="list" allowBlank="1" showInputMessage="1" showErrorMessage="1" sqref="Z27" xr:uid="{723FA426-2196-4FB9-9A64-F95970AE0841}">
      <formula1>$AB$41:$AB$45</formula1>
    </dataValidation>
    <dataValidation type="list" allowBlank="1" showInputMessage="1" showErrorMessage="1" sqref="Z24" xr:uid="{BC18FE31-981C-4ABE-BDEA-0BA7B00BC3F5}">
      <formula1>$AB$37:$AB$38</formula1>
    </dataValidation>
    <dataValidation type="list" allowBlank="1" showInputMessage="1" showErrorMessage="1" sqref="Z8" xr:uid="{5592B0BD-491B-46E6-A524-D24CB316A719}">
      <formula1>$AB$33:$AB$34</formula1>
    </dataValidation>
    <dataValidation type="list" allowBlank="1" showInputMessage="1" showErrorMessage="1" sqref="Z7" xr:uid="{19BD1813-18E3-411D-A233-91C0A2A03016}">
      <formula1>$AB$28:$AB$30</formula1>
    </dataValidation>
    <dataValidation type="list" allowBlank="1" showInputMessage="1" showErrorMessage="1" sqref="Z6" xr:uid="{DB4A9FBE-7716-464F-9BF6-1D73C0E3006A}">
      <formula1>$AB$23:$AB$25</formula1>
    </dataValidation>
    <dataValidation type="list" allowBlank="1" showInputMessage="1" showErrorMessage="1" sqref="Z4" xr:uid="{CA366FEE-8238-4DF8-A172-4D74D3C3B356}">
      <formula1>INDIRECT($AC$13)</formula1>
    </dataValidation>
    <dataValidation type="list" allowBlank="1" showInputMessage="1" showErrorMessage="1" sqref="Z5" xr:uid="{3FA66429-4B62-46AC-8F80-66D8B4DC0E9C}">
      <formula1>$AB$19:$AB$20</formula1>
    </dataValidation>
    <dataValidation type="list" allowBlank="1" showInputMessage="1" showErrorMessage="1" sqref="Z29" xr:uid="{95A42806-707F-4A50-BB10-9061E2F0844C}">
      <formula1>$AB$52</formula1>
    </dataValidation>
  </dataValidations>
  <pageMargins left="0.7" right="0.7" top="0.75" bottom="0.75" header="0.3" footer="0.3"/>
  <pageSetup orientation="portrait" verticalDpi="0" r:id="rId1"/>
  <drawing r:id="rId2"/>
  <extLst>
    <ext xmlns:x14="http://schemas.microsoft.com/office/spreadsheetml/2009/9/main" uri="{CCE6A557-97BC-4b89-ADB6-D9C93CAAB3DF}">
      <x14:dataValidations xmlns:xm="http://schemas.microsoft.com/office/excel/2006/main" count="8">
        <x14:dataValidation type="list" allowBlank="1" showInputMessage="1" showErrorMessage="1" promptTitle="Low Power Option" prompt="Enable low power option" xr:uid="{086ED33A-FB8C-4CCF-912B-2CB2B34748E4}">
          <x14:formula1>
            <xm:f>IF(E8="Q4",calTotal!$P$45,calTotal!$P$45:$P$46)</xm:f>
          </x14:formula1>
          <xm:sqref>E10:F10</xm:sqref>
        </x14:dataValidation>
        <x14:dataValidation type="list" allowBlank="1" showInputMessage="1" showErrorMessage="1" xr:uid="{4B7963C4-3F30-4819-9661-43CC1A44B1BF}">
          <x14:formula1>
            <xm:f>calTotal!$J$45:$J$46</xm:f>
          </x14:formula1>
          <xm:sqref>E18:F18 E91:F91</xm:sqref>
        </x14:dataValidation>
        <x14:dataValidation type="list" allowBlank="1" showInputMessage="1" showErrorMessage="1" promptTitle="Condition" prompt="Typical = Typical static leakage power_x000a_Maximum = Worst case static leakage power " xr:uid="{80BD351F-4250-47E9-BE96-4373CB9EF6A4}">
          <x14:formula1>
            <xm:f>calTotal!$G$45:$G$46</xm:f>
          </x14:formula1>
          <xm:sqref>E9:F9</xm:sqref>
        </x14:dataValidation>
        <x14:dataValidation type="list" allowBlank="1" showInputMessage="1" showErrorMessage="1" error="Invalid Input" promptTitle="Voltage Variation" prompt="Minimum, Nominal, Maximum" xr:uid="{C934B89A-C107-4DCD-B671-2B0AA0F3271A}">
          <x14:formula1>
            <xm:f>calTotal!$C$45:$C$47</xm:f>
          </x14:formula1>
          <xm:sqref>E11:F11</xm:sqref>
        </x14:dataValidation>
        <x14:dataValidation type="list" allowBlank="1" showInputMessage="1" showErrorMessage="1" xr:uid="{AC2BDFCC-4C90-43E1-8B34-170FD5F3DFDD}">
          <x14:formula1>
            <xm:f>calTotal!$I$46</xm:f>
          </x14:formula1>
          <xm:sqref>E19:F19 E92:F92</xm:sqref>
        </x14:dataValidation>
        <x14:dataValidation type="list" allowBlank="1" showInputMessage="1" showErrorMessage="1" xr:uid="{3F3CAFA1-CF32-4618-A769-287792099FFC}">
          <x14:formula1>
            <xm:f>calTotal!$H$45:$H$47</xm:f>
          </x14:formula1>
          <xm:sqref>E17:F17 E90:F90</xm:sqref>
        </x14:dataValidation>
        <x14:dataValidation type="list" allowBlank="1" showInputMessage="1" showErrorMessage="1" promptTitle="Speed Grade" prompt="C3/4: Commercial grade temperature range is from 0c - 85c_x000a_I4: Industrial grade temperature range is from -40c - 100c_x000a_Q4: Automotive grade temperature range is from -40c - 105c" xr:uid="{9B929884-0FEE-4D75-89CF-619148D16E32}">
          <x14:formula1>
            <xm:f>INDIRECT(calTotal!$F$49)</xm:f>
          </x14:formula1>
          <xm:sqref>E8:F8</xm:sqref>
        </x14:dataValidation>
        <x14:dataValidation type="list" allowBlank="1" showInputMessage="1" showErrorMessage="1" promptTitle="Package Selection" xr:uid="{20BA785A-AA15-429B-A4DB-E787C9D8AF2E}">
          <x14:formula1>
            <xm:f>calTotal!$E$45:$E$51</xm:f>
          </x14:formula1>
          <xm:sqref>E7:F7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BD065-2A31-4304-AB80-B78FA2485D5E}">
  <sheetPr codeName="Sheet13"/>
  <dimension ref="A1"/>
  <sheetViews>
    <sheetView workbookViewId="0"/>
  </sheetViews>
  <sheetFormatPr defaultRowHeight="14.5" x14ac:dyDescent="0.35"/>
  <cols>
    <col min="1" max="1" width="33.7265625" bestFit="1" customWidth="1"/>
    <col min="2" max="10" width="21.54296875" bestFit="1" customWidth="1"/>
    <col min="11" max="53" width="12" bestFit="1" customWidth="1"/>
    <col min="54" max="54" width="11.81640625" bestFit="1" customWidth="1"/>
    <col min="55" max="72" width="12" bestFit="1" customWidth="1"/>
    <col min="73" max="73" width="11.81640625" bestFit="1" customWidth="1"/>
    <col min="74" max="196" width="12" bestFit="1" customWidth="1"/>
    <col min="197" max="197" width="11.81640625" bestFit="1" customWidth="1"/>
    <col min="198" max="293" width="12" bestFit="1" customWidth="1"/>
    <col min="294" max="294" width="11.81640625" bestFit="1" customWidth="1"/>
    <col min="295" max="537" width="12" bestFit="1" customWidth="1"/>
    <col min="538" max="538" width="11.81640625" bestFit="1" customWidth="1"/>
    <col min="539" max="553" width="12" bestFit="1" customWidth="1"/>
    <col min="554" max="554" width="11.81640625" bestFit="1" customWidth="1"/>
    <col min="555" max="569" width="12" bestFit="1" customWidth="1"/>
    <col min="570" max="570" width="11.81640625" bestFit="1" customWidth="1"/>
    <col min="571" max="600" width="12" bestFit="1" customWidth="1"/>
    <col min="601" max="601" width="11.81640625" bestFit="1" customWidth="1"/>
    <col min="602" max="614" width="12" bestFit="1" customWidth="1"/>
    <col min="615" max="615" width="11.81640625" bestFit="1" customWidth="1"/>
    <col min="616" max="628" width="12" bestFit="1" customWidth="1"/>
    <col min="629" max="629" width="11.81640625" bestFit="1" customWidth="1"/>
    <col min="630" max="642" width="12" bestFit="1" customWidth="1"/>
    <col min="643" max="643" width="11.81640625" bestFit="1" customWidth="1"/>
    <col min="644" max="656" width="12" bestFit="1" customWidth="1"/>
    <col min="657" max="657" width="11.81640625" bestFit="1" customWidth="1"/>
    <col min="658" max="670" width="12" bestFit="1" customWidth="1"/>
    <col min="671" max="671" width="11.81640625" bestFit="1" customWidth="1"/>
    <col min="672" max="1009" width="12" bestFit="1" customWidth="1"/>
  </cols>
  <sheetData/>
  <sheetProtection algorithmName="SHA-512" hashValue="cqerCdmm0o6t3N4T21XbskYfAiS3y9tucnXF5FG1Qgm5TtrLXf/kr7w9PMe7djZ8eu18a8zwScA8nWE3GP2LmA==" saltValue="svmk43BHdWXrNkYClgN6ng==" spinCount="100000" sheet="1" objects="1" scenarios="1"/>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P116"/>
  <sheetViews>
    <sheetView showGridLines="0" showRowColHeaders="0" zoomScale="70" zoomScaleNormal="70" workbookViewId="0"/>
  </sheetViews>
  <sheetFormatPr defaultColWidth="9.1796875" defaultRowHeight="14.5" x14ac:dyDescent="0.35"/>
  <cols>
    <col min="1" max="1" width="9.1796875" style="1"/>
    <col min="2" max="2" width="7.7265625" style="1" customWidth="1"/>
    <col min="3" max="3" width="35" style="1" bestFit="1" customWidth="1"/>
    <col min="4" max="4" width="35.7265625" style="1" bestFit="1" customWidth="1"/>
    <col min="5" max="5" width="9.81640625" style="1" customWidth="1"/>
    <col min="6" max="6" width="22.26953125" style="1" bestFit="1" customWidth="1"/>
    <col min="7" max="7" width="14" style="1" bestFit="1" customWidth="1"/>
    <col min="8" max="8" width="26.81640625" style="1" bestFit="1" customWidth="1"/>
    <col min="9" max="9" width="27.81640625" style="1" bestFit="1" customWidth="1"/>
    <col min="10" max="10" width="7.26953125" style="1" customWidth="1"/>
    <col min="11" max="11" width="12.453125" style="1" hidden="1" customWidth="1"/>
    <col min="12" max="12" width="42.26953125" style="1" hidden="1" customWidth="1"/>
    <col min="13" max="13" width="30.7265625" style="1" hidden="1" customWidth="1"/>
    <col min="14" max="14" width="35.81640625" style="1" hidden="1" customWidth="1"/>
    <col min="15" max="15" width="39.1796875" style="1" hidden="1" customWidth="1"/>
    <col min="16" max="16" width="11.7265625" style="1" customWidth="1"/>
    <col min="17" max="22" width="9.1796875" style="1" customWidth="1"/>
    <col min="23" max="16384" width="9.1796875" style="1"/>
  </cols>
  <sheetData>
    <row r="1" spans="2:13" ht="33" customHeight="1" thickBot="1" x14ac:dyDescent="0.4"/>
    <row r="2" spans="2:13" ht="36.5" thickBot="1" x14ac:dyDescent="0.85">
      <c r="B2" s="192" t="s">
        <v>222</v>
      </c>
      <c r="C2" s="193"/>
      <c r="D2" s="193"/>
      <c r="E2" s="193"/>
      <c r="F2" s="193"/>
      <c r="G2" s="193"/>
      <c r="H2" s="193"/>
      <c r="I2" s="193"/>
      <c r="J2" s="194"/>
    </row>
    <row r="3" spans="2:13" x14ac:dyDescent="0.35">
      <c r="B3" s="7"/>
      <c r="F3" s="23"/>
      <c r="J3" s="8"/>
    </row>
    <row r="4" spans="2:13" x14ac:dyDescent="0.35">
      <c r="B4" s="7"/>
      <c r="D4" s="174" t="s">
        <v>0</v>
      </c>
      <c r="E4" s="174"/>
      <c r="F4" s="174"/>
      <c r="J4" s="8"/>
    </row>
    <row r="5" spans="2:13" x14ac:dyDescent="0.35">
      <c r="B5" s="7"/>
      <c r="D5" s="34" t="s">
        <v>2</v>
      </c>
      <c r="E5" s="175" t="s">
        <v>3</v>
      </c>
      <c r="F5" s="175"/>
      <c r="J5" s="8"/>
    </row>
    <row r="6" spans="2:13" x14ac:dyDescent="0.35">
      <c r="B6" s="7"/>
      <c r="D6" s="34" t="s">
        <v>0</v>
      </c>
      <c r="E6" s="175" t="s">
        <v>199</v>
      </c>
      <c r="F6" s="175"/>
      <c r="J6" s="8"/>
    </row>
    <row r="7" spans="2:13" x14ac:dyDescent="0.35">
      <c r="B7" s="7"/>
      <c r="D7" s="34" t="s">
        <v>6</v>
      </c>
      <c r="E7" s="195" t="str">
        <f>Total!E7</f>
        <v>Q100</v>
      </c>
      <c r="F7" s="195"/>
      <c r="G7" s="42"/>
      <c r="J7" s="8"/>
    </row>
    <row r="8" spans="2:13" x14ac:dyDescent="0.35">
      <c r="B8" s="7"/>
      <c r="D8" s="34" t="s">
        <v>9</v>
      </c>
      <c r="E8" s="195" t="str">
        <f>Total!E8</f>
        <v>C3</v>
      </c>
      <c r="F8" s="195"/>
      <c r="J8" s="8"/>
    </row>
    <row r="9" spans="2:13" x14ac:dyDescent="0.35">
      <c r="B9" s="7"/>
      <c r="D9" s="34" t="s">
        <v>11</v>
      </c>
      <c r="E9" s="195" t="str">
        <f>Total!E9</f>
        <v>Typical</v>
      </c>
      <c r="F9" s="195"/>
      <c r="J9" s="8"/>
    </row>
    <row r="10" spans="2:13" x14ac:dyDescent="0.35">
      <c r="B10" s="7"/>
      <c r="D10" s="34" t="s">
        <v>225</v>
      </c>
      <c r="E10" s="199" t="str">
        <f>Total!E10</f>
        <v>No</v>
      </c>
      <c r="F10" s="200"/>
      <c r="J10" s="8"/>
    </row>
    <row r="11" spans="2:13" x14ac:dyDescent="0.35">
      <c r="B11" s="7"/>
      <c r="D11" s="34" t="s">
        <v>13</v>
      </c>
      <c r="E11" s="196" t="str">
        <f>Total!E11</f>
        <v>Nominal</v>
      </c>
      <c r="F11" s="196"/>
      <c r="J11" s="8"/>
    </row>
    <row r="12" spans="2:13" ht="15" customHeight="1" x14ac:dyDescent="0.35">
      <c r="B12" s="7"/>
      <c r="D12" s="30" t="s">
        <v>321</v>
      </c>
      <c r="E12" s="31">
        <f>IF(OR($E$7="W80",$E$7="Q100",$E$7="Q144",$E$7="F169",$E$7="F256"),IF($E$9="Typical",IF($E$7="W80",((2.7909*EXP(0.0293*E16))/1.2),IF(OR($E$7="Q100",$E$7="Q144"),((3.3892*EXP(0.0293*E16))/1.2),IF($E$7="F169",((2.7089*EXP(0.0293*E16))/1.2),IF($E$7="F256",((3.3892*EXP(0.0293*E16))/1.2),"Invalid")))),IF($E$9="Maximum",((7.2106*EXP(0.0293*E16))/1.2),"Invalid")),IF(OR($E$7="F324",$E$7="F400"),IF($E$9="Typical",IF($E$7="F324",((19.1814*EXP(0.0181*E16))/1.2),IF($E$7="F400",((19.3955*EXP(0.0181*E16))/1.2),"Invalid")),IF($E$9="Maximum",((34.982*EXP(0.0181*E16))/1.2),"Invalid"))))</f>
        <v>5.8753894579513712</v>
      </c>
      <c r="J12" s="8"/>
    </row>
    <row r="13" spans="2:13" x14ac:dyDescent="0.35">
      <c r="B13" s="7"/>
      <c r="J13" s="8"/>
    </row>
    <row r="14" spans="2:13" x14ac:dyDescent="0.35">
      <c r="B14" s="7"/>
      <c r="D14" s="32"/>
      <c r="J14" s="8"/>
      <c r="L14" s="1" t="s">
        <v>1</v>
      </c>
      <c r="M14" s="18">
        <f>K39</f>
        <v>8.4605608194499737</v>
      </c>
    </row>
    <row r="15" spans="2:13" x14ac:dyDescent="0.35">
      <c r="B15" s="7"/>
      <c r="D15" s="174" t="s">
        <v>19</v>
      </c>
      <c r="E15" s="174"/>
      <c r="F15" s="174"/>
      <c r="G15" s="33"/>
      <c r="H15" s="32"/>
      <c r="J15" s="8"/>
      <c r="L15" s="1" t="s">
        <v>4</v>
      </c>
      <c r="M15" s="18">
        <f>L48</f>
        <v>0</v>
      </c>
    </row>
    <row r="16" spans="2:13" x14ac:dyDescent="0.35">
      <c r="B16" s="7"/>
      <c r="D16" s="50" t="s">
        <v>20</v>
      </c>
      <c r="E16" s="191">
        <f>Total!E16</f>
        <v>25</v>
      </c>
      <c r="F16" s="191"/>
      <c r="J16" s="8"/>
      <c r="L16" s="1" t="s">
        <v>5</v>
      </c>
      <c r="M16" s="18" t="str">
        <f>IF(Package="F324",M14+IF(SUM(D30:D35)&gt;0,L42,IF(D36&gt;0.699,L42,IF(DDR!C4&gt;0,L42,0))),IF(Package="F400",M14+IF(SUM(D30:D35)&gt;0,L42,IF(DDR!C4&gt;0,L42,0)),"Invalid"))</f>
        <v>Invalid</v>
      </c>
    </row>
    <row r="17" spans="2:15" x14ac:dyDescent="0.35">
      <c r="B17" s="7"/>
      <c r="D17" s="29" t="s">
        <v>23</v>
      </c>
      <c r="E17" s="191" t="str">
        <f>Total!E17</f>
        <v>0.0m/s</v>
      </c>
      <c r="F17" s="191"/>
      <c r="J17" s="8"/>
      <c r="L17" s="1" t="s">
        <v>8</v>
      </c>
      <c r="M17" s="18">
        <f>SUM(DDR!C2:C3)+IF(DDR!B3="-",0,calTotal!M15)</f>
        <v>0</v>
      </c>
    </row>
    <row r="18" spans="2:15" x14ac:dyDescent="0.35">
      <c r="B18" s="7"/>
      <c r="D18" s="29" t="s">
        <v>25</v>
      </c>
      <c r="E18" s="191" t="str">
        <f>Total!E18</f>
        <v>None</v>
      </c>
      <c r="F18" s="191"/>
      <c r="J18" s="8"/>
      <c r="L18" s="1" t="s">
        <v>10</v>
      </c>
      <c r="M18" s="18" t="str">
        <f>IF(Package="F324",SUM(D30:D36)+M16+M17,IF(Package="F400",SUM(D30:D35)+M16+M17,"Invalid"))</f>
        <v>Invalid</v>
      </c>
    </row>
    <row r="19" spans="2:15" x14ac:dyDescent="0.35">
      <c r="B19" s="7"/>
      <c r="D19" s="60" t="s">
        <v>28</v>
      </c>
      <c r="E19" s="191" t="str">
        <f>Total!E19</f>
        <v>JEDEC (2s2p)</v>
      </c>
      <c r="F19" s="191"/>
      <c r="J19" s="8"/>
      <c r="L19" s="1" t="s">
        <v>15</v>
      </c>
      <c r="M19" s="12">
        <f>SUM(DDR!C2:C3)</f>
        <v>0</v>
      </c>
    </row>
    <row r="20" spans="2:15" x14ac:dyDescent="0.35">
      <c r="B20" s="7"/>
      <c r="D20" s="29" t="s">
        <v>30</v>
      </c>
      <c r="E20" s="197">
        <f>Total!E20</f>
        <v>50</v>
      </c>
      <c r="F20" s="198"/>
      <c r="J20" s="8"/>
    </row>
    <row r="21" spans="2:15" x14ac:dyDescent="0.35">
      <c r="B21" s="7"/>
      <c r="D21" s="29" t="s">
        <v>30</v>
      </c>
      <c r="E21" s="176" t="str">
        <f>IF(Package="F324",IF(E17="0.0m/s",((-0.0675*E16)+26.427),IF(E17="1.0m/s",((-0.0205*E16)+19.633),((-0.0385*E16)+20.163))),IF(Package="F400",IF(E17="0.0m/s",((-0.0435*E16)+22.43),IF(E17="1.0m/s",((-0.0317*E16)+19.614),((-0.0265*E16)+18.092))),"Invalid"))</f>
        <v>Invalid</v>
      </c>
      <c r="F21" s="176"/>
      <c r="J21" s="8"/>
    </row>
    <row r="22" spans="2:15" ht="15" customHeight="1" x14ac:dyDescent="0.35">
      <c r="B22" s="7"/>
      <c r="D22" s="29" t="s">
        <v>31</v>
      </c>
      <c r="E22" s="176">
        <f>IFERROR('Tj &amp; leakage iterations'!D102,"Not Valid")</f>
        <v>111.34211007871819</v>
      </c>
      <c r="F22" s="176"/>
      <c r="J22" s="8"/>
      <c r="L22" s="1" t="s">
        <v>17</v>
      </c>
    </row>
    <row r="23" spans="2:15" x14ac:dyDescent="0.35">
      <c r="B23" s="7"/>
      <c r="D23" s="29" t="s">
        <v>32</v>
      </c>
      <c r="E23" s="176" t="e">
        <f>M33</f>
        <v>#VALUE!</v>
      </c>
      <c r="F23" s="176"/>
      <c r="J23" s="8"/>
      <c r="L23" s="1" t="s">
        <v>18</v>
      </c>
    </row>
    <row r="24" spans="2:15" x14ac:dyDescent="0.35">
      <c r="B24" s="7"/>
      <c r="D24" s="32"/>
      <c r="E24" s="18"/>
      <c r="F24" s="18"/>
      <c r="J24" s="8"/>
      <c r="L24" s="1" t="s">
        <v>245</v>
      </c>
      <c r="M24" s="3">
        <f>IF($E$8="Q4",105,IF($E$8="I4",100,IF(OR($E$8="C3",$E$8="C4"),85,"Invalid")))</f>
        <v>85</v>
      </c>
    </row>
    <row r="25" spans="2:15" ht="18.5" x14ac:dyDescent="0.45">
      <c r="B25" s="7"/>
      <c r="C25" s="65" t="s">
        <v>33</v>
      </c>
      <c r="D25" s="63"/>
      <c r="E25" s="66"/>
      <c r="F25" s="66"/>
      <c r="G25" s="63"/>
      <c r="H25" s="63"/>
      <c r="I25" s="67"/>
      <c r="J25" s="8"/>
      <c r="K25" s="1" t="s">
        <v>21</v>
      </c>
      <c r="L25" s="1" t="s">
        <v>22</v>
      </c>
      <c r="M25" s="12">
        <f>IF(E8="I4",IF(G39="-",0,IF(OR(E11="Nominal",E11="Maximum"),IF(AND(G39&gt;=1.14,G39&lt;=1.3),((10.144*EXP(0.0051*100))*(G39^2)),((28.333*EXP(0.002*100))*(G39^2))),IF(G39=1.14,((10.144*EXP(0.0051*100))*(G39^2)),((28.333*EXP(0.002*100))*(G39^2))))),IF(G39="-",0,IF(OR(E11="Nominal",E11="Maximum"),IF(AND(G39&gt;=1.14,G39&lt;=1.3),((10.144*EXP(0.0051*85))*(G39^2)),((28.333*EXP(0.002*85))*(G39^2))),IF(G39=1.14,((10.144*EXP(0.0051*85))*(G39^2)),((28.333*EXP(0.002*85))*(G39^2))))))</f>
        <v>0</v>
      </c>
    </row>
    <row r="26" spans="2:15" ht="43.15" customHeight="1" x14ac:dyDescent="0.35">
      <c r="B26" s="7"/>
      <c r="C26" s="183" t="str">
        <f>IFERROR(IF(E22="Not Valid",C82,IF(E8="Q4",C79,IF(E8="I4",C76,C73))),"-")</f>
        <v>Device junction temperature exceeds the maximum operating temperature based on the selected grade . Please reduce the ambient temperature or improve cooling solution to your system. Please consult Efinix Application Engineer for more suggestion on the thermal solutions.</v>
      </c>
      <c r="D26" s="184"/>
      <c r="E26" s="184"/>
      <c r="F26" s="184"/>
      <c r="G26" s="184"/>
      <c r="H26" s="184"/>
      <c r="I26" s="185"/>
      <c r="J26" s="8"/>
      <c r="K26" s="1" t="s">
        <v>24</v>
      </c>
      <c r="L26" s="1" t="s">
        <v>22</v>
      </c>
      <c r="M26" s="18">
        <f>(IF(OR($E$7="W80",$E$7="Q100",$E$7="Q144",$E$7="F169",$E$7="F256"),IF($E$9="Typical",IF($E$7="W80",((2.7909*EXP(0.0293*$M$24))/1.2),IF(OR($E$7="Q100",$E$7="Q144"),((3.3892*EXP(0.0293*$M$24))/1.2),IF($E$7="F169",((2.7089*EXP(0.0293*$M$24))/1.2),IF($E$7="F256",((3.3892*EXP(0.0293*$M$24))/1.2),"Invalid")))),IF($E$9="Maximum",((7.2106*EXP(0.0293*$M$24))/1.2),"Invalid")),IF(OR($E$7="F324",$E$7="F400"),IF($E$9="Typical",IF($E$7="F324",((19.1814*EXP(0.0181*$M$24))/1.2),IF($E$7="F400",((19.3955*EXP(0.0181*$M$24))/1.2),"Invalid")),IF($E$9="Maximum",((34.982*EXP(0.0181*$M$24))/1.2),"Invalid")))))*$G$31^2</f>
        <v>49.078225411843569</v>
      </c>
    </row>
    <row r="27" spans="2:15" x14ac:dyDescent="0.35">
      <c r="B27" s="7"/>
      <c r="J27" s="8"/>
      <c r="M27" s="18"/>
      <c r="N27" s="1" t="s">
        <v>27</v>
      </c>
    </row>
    <row r="28" spans="2:15" x14ac:dyDescent="0.35">
      <c r="B28" s="7"/>
      <c r="C28" s="174" t="s">
        <v>34</v>
      </c>
      <c r="D28" s="174"/>
      <c r="F28" s="174" t="s">
        <v>35</v>
      </c>
      <c r="G28" s="174"/>
      <c r="H28" s="174"/>
      <c r="I28" s="174"/>
      <c r="J28" s="8"/>
      <c r="L28" s="58"/>
      <c r="M28" s="18"/>
      <c r="N28" s="1">
        <f>IF(Package="F324",IF(L48=0,0,(18.25*(G31^2)))+IF(SUM(D30:D35)&gt;0,L42,IF(D36&gt;0.699,L42,IF(DDR!C4&gt;0,L42,0))),IF(L48=0,0,(18.25*(G31^2)))+IF(SUM(D30:D35)&gt;0,L42,IF(DDR!C4&gt;0,L42,0)))</f>
        <v>19.2</v>
      </c>
    </row>
    <row r="29" spans="2:15" ht="15" customHeight="1" x14ac:dyDescent="0.35">
      <c r="B29" s="7"/>
      <c r="C29" s="29" t="s">
        <v>36</v>
      </c>
      <c r="D29" s="35" t="s">
        <v>37</v>
      </c>
      <c r="F29" s="186" t="s">
        <v>38</v>
      </c>
      <c r="G29" s="186" t="s">
        <v>39</v>
      </c>
      <c r="H29" s="186" t="s">
        <v>40</v>
      </c>
      <c r="I29" s="186" t="s">
        <v>41</v>
      </c>
      <c r="J29" s="8"/>
      <c r="K29" s="1" t="s">
        <v>42</v>
      </c>
      <c r="L29" s="1" t="s">
        <v>43</v>
      </c>
      <c r="M29" s="18">
        <f>SUM(M25:M28)</f>
        <v>49.078225411843569</v>
      </c>
    </row>
    <row r="30" spans="2:15" x14ac:dyDescent="0.35">
      <c r="B30" s="7"/>
      <c r="C30" s="34" t="s">
        <v>44</v>
      </c>
      <c r="D30" s="36">
        <f>Logic!C2</f>
        <v>947.24986291199991</v>
      </c>
      <c r="F30" s="186"/>
      <c r="G30" s="186"/>
      <c r="H30" s="186"/>
      <c r="I30" s="186"/>
      <c r="J30" s="8"/>
    </row>
    <row r="31" spans="2:15" x14ac:dyDescent="0.35">
      <c r="B31" s="7"/>
      <c r="C31" s="34" t="s">
        <v>45</v>
      </c>
      <c r="D31" s="36">
        <f>Memory!C2</f>
        <v>430.18581600000005</v>
      </c>
      <c r="F31" s="37" t="s">
        <v>24</v>
      </c>
      <c r="G31" s="22">
        <f>Logic!B2</f>
        <v>1.2</v>
      </c>
      <c r="H31" s="49">
        <f>IF(Package="F324",IF(L48=0,0,(18.25*(G31^2)))+Logic!C2+Memory!C2+Multiplier!C2+Clock!C2+IO!D2+PLL!C2+MIPI!C2+DDR!C2+O55+IF(OR(SUM(D30:D35)&gt;0,DDR!C4&gt;0,D36&gt;0.699),'Tj &amp; leakage iterations'!F102+L42,'Tj &amp; leakage iterations'!F102), IF(L48=0,0,(18.25*(G31^2)))+Logic!C2+Memory!C2+Multiplier!C2+Clock!C2+IO!D2+PLL!C2+MIPI!C2+DDR!C2+IF(OR(SUM(D30:D35)&gt;0,DDR!C4&gt;0),'Tj &amp; leakage iterations'!F102+L42,'Tj &amp; leakage iterations'!F102))</f>
        <v>1698.8232708383334</v>
      </c>
      <c r="I31" s="49">
        <f>H31/G31</f>
        <v>1415.6860590319445</v>
      </c>
      <c r="J31" s="8"/>
      <c r="L31" s="1" t="s">
        <v>46</v>
      </c>
      <c r="M31" s="18" t="str">
        <f>IF(Package="F324",SUM(D30:D36)+M29+M19,IF(Package="F400",SUM(D30:D35)+M29+M19,"Invalid"))</f>
        <v>Invalid</v>
      </c>
      <c r="N31" s="12"/>
      <c r="O31" s="12"/>
    </row>
    <row r="32" spans="2:15" x14ac:dyDescent="0.35">
      <c r="B32" s="7"/>
      <c r="C32" s="34" t="s">
        <v>47</v>
      </c>
      <c r="D32" s="36">
        <f>Multiplier!C2</f>
        <v>128.24183087999998</v>
      </c>
      <c r="F32" s="37" t="s">
        <v>48</v>
      </c>
      <c r="G32" s="22">
        <f>PLL!B3</f>
        <v>1.2</v>
      </c>
      <c r="H32" s="49">
        <f>PLL!C3</f>
        <v>0</v>
      </c>
      <c r="I32" s="49">
        <f>H32/G32</f>
        <v>0</v>
      </c>
      <c r="J32" s="8"/>
      <c r="L32" s="1" t="s">
        <v>49</v>
      </c>
      <c r="M32" s="12" t="str">
        <f>IF(Package="F324",IF(E17="0.0m/s",((-0.0675*M24)+26.427),IF(E17="1.0m/s",((-0.0205*M24)+19.633),((-0.0385*M24)+20.163))),IF(Package="F400",IF(E17="0.0m/s",((-0.0435*M24)+22.43),IF(E17="1.0m/s",((-0.0317*M24)+19.614),((-0.0265*M24)+18.092))),"Invalid"))</f>
        <v>Invalid</v>
      </c>
      <c r="N32" s="12"/>
      <c r="O32" s="12"/>
    </row>
    <row r="33" spans="2:16" x14ac:dyDescent="0.35">
      <c r="B33" s="7"/>
      <c r="C33" s="34" t="s">
        <v>50</v>
      </c>
      <c r="D33" s="36">
        <f>IO!D6+IO!D2</f>
        <v>0</v>
      </c>
      <c r="F33" s="186" t="s">
        <v>51</v>
      </c>
      <c r="G33" s="22">
        <f>IO!B3</f>
        <v>1.8</v>
      </c>
      <c r="H33" s="49">
        <f>IO!D3</f>
        <v>0</v>
      </c>
      <c r="I33" s="49">
        <f t="shared" ref="I33:I37" si="0">H33/G33</f>
        <v>0</v>
      </c>
      <c r="J33" s="8"/>
      <c r="L33" s="1" t="s">
        <v>52</v>
      </c>
      <c r="M33" s="18" t="e">
        <f>M24-(M32*(M31/1000))</f>
        <v>#VALUE!</v>
      </c>
      <c r="N33" s="19"/>
      <c r="O33" s="12"/>
    </row>
    <row r="34" spans="2:16" x14ac:dyDescent="0.35">
      <c r="B34" s="7"/>
      <c r="C34" s="29" t="s">
        <v>53</v>
      </c>
      <c r="D34" s="49">
        <f>Clock!C2</f>
        <v>67.754768693299212</v>
      </c>
      <c r="F34" s="186"/>
      <c r="G34" s="22">
        <f>IO!B4</f>
        <v>2.5</v>
      </c>
      <c r="H34" s="49">
        <f>IO!D4</f>
        <v>0</v>
      </c>
      <c r="I34" s="49">
        <f t="shared" si="0"/>
        <v>0</v>
      </c>
      <c r="J34" s="8"/>
      <c r="N34" s="19"/>
      <c r="O34" s="12"/>
    </row>
    <row r="35" spans="2:16" x14ac:dyDescent="0.35">
      <c r="B35" s="7"/>
      <c r="C35" s="29" t="s">
        <v>54</v>
      </c>
      <c r="D35" s="49">
        <f>PLL!C4</f>
        <v>0</v>
      </c>
      <c r="F35" s="186"/>
      <c r="G35" s="22">
        <f>IO!B5</f>
        <v>3.3</v>
      </c>
      <c r="H35" s="49">
        <f>IO!D5</f>
        <v>0</v>
      </c>
      <c r="I35" s="49">
        <f t="shared" si="0"/>
        <v>0</v>
      </c>
      <c r="J35" s="8"/>
    </row>
    <row r="36" spans="2:16" customFormat="1" x14ac:dyDescent="0.35">
      <c r="B36" s="7"/>
      <c r="C36" s="29" t="s">
        <v>55</v>
      </c>
      <c r="D36" s="49">
        <f>SUM(MIPI!C2:C5)+SUM(L55:N55)</f>
        <v>0</v>
      </c>
      <c r="E36" s="1"/>
      <c r="F36" s="37" t="s">
        <v>56</v>
      </c>
      <c r="G36" s="22">
        <f>MIPI!B3</f>
        <v>1.2</v>
      </c>
      <c r="H36" s="49">
        <f>MIPI!C3+L55</f>
        <v>0</v>
      </c>
      <c r="I36" s="49">
        <f t="shared" si="0"/>
        <v>0</v>
      </c>
      <c r="J36" s="46"/>
      <c r="K36" s="1"/>
      <c r="L36" s="1"/>
      <c r="M36" s="1"/>
      <c r="N36" s="1"/>
      <c r="O36" s="1"/>
    </row>
    <row r="37" spans="2:16" customFormat="1" x14ac:dyDescent="0.35">
      <c r="B37" s="7"/>
      <c r="C37" s="37" t="s">
        <v>57</v>
      </c>
      <c r="D37" s="49">
        <f>SUM(DDR!C2:C3)+IF(DDR!B3="-",0,'Tj &amp; leakage iterations'!G102)</f>
        <v>0</v>
      </c>
      <c r="E37" s="1"/>
      <c r="F37" s="37" t="s">
        <v>58</v>
      </c>
      <c r="G37" s="22">
        <f>MIPI!B4</f>
        <v>1.2</v>
      </c>
      <c r="H37" s="49">
        <f>MIPI!C4+M55</f>
        <v>0</v>
      </c>
      <c r="I37" s="49">
        <f t="shared" si="0"/>
        <v>0</v>
      </c>
      <c r="J37" s="46"/>
      <c r="K37" s="1"/>
      <c r="L37" s="1"/>
      <c r="M37" s="1"/>
      <c r="N37" s="1"/>
      <c r="O37" s="1"/>
    </row>
    <row r="38" spans="2:16" customFormat="1" ht="23.5" x14ac:dyDescent="0.55000000000000004">
      <c r="B38" s="7"/>
      <c r="C38" s="38" t="s">
        <v>59</v>
      </c>
      <c r="D38" s="39">
        <f>IFERROR(IF(Package="F324",SUM(D30:D37),SUM(D30:D35)+D37),"Not Valid")</f>
        <v>1573.4322784852991</v>
      </c>
      <c r="E38" s="1"/>
      <c r="F38" s="37" t="s">
        <v>60</v>
      </c>
      <c r="G38" s="22">
        <f>MIPI!B5</f>
        <v>2.5</v>
      </c>
      <c r="H38" s="49">
        <f>MIPI!C5+N55</f>
        <v>0</v>
      </c>
      <c r="I38" s="49">
        <f>H38/G38</f>
        <v>0</v>
      </c>
      <c r="J38" s="46"/>
      <c r="K38" s="1" t="s">
        <v>61</v>
      </c>
      <c r="L38" s="1"/>
      <c r="M38" s="1"/>
      <c r="N38" s="1"/>
      <c r="O38" s="1"/>
    </row>
    <row r="39" spans="2:16" x14ac:dyDescent="0.35">
      <c r="B39" s="7"/>
      <c r="F39" s="37" t="s">
        <v>21</v>
      </c>
      <c r="G39" s="22" t="str">
        <f>IF(SUM(DDR!U7:U7)=0,"-",DDR!B3)</f>
        <v>-</v>
      </c>
      <c r="H39" s="49">
        <f>IF(G39="-",0,DDR!C3+'Tj &amp; leakage iterations'!G102)</f>
        <v>0</v>
      </c>
      <c r="I39" s="49">
        <f>IF(G39="-",0,H39/G39)</f>
        <v>0</v>
      </c>
      <c r="J39" s="8"/>
      <c r="K39" s="1">
        <f>IF(calTotal!E10="No",IF(E11="Nominal",E12*(1.2^2),IF(E11="Minimum",E12*(1.15^2),IF(E11="Maximum",E12*(1.25^2),"Invalid"))),IF(E11="Nominal",E12*(1.1^2),IF(E11="Minimum",E12*(1.05^2),IF(E11="Maximum",E12*(1.15^2),"Invalid"))))</f>
        <v>8.4605608194499737</v>
      </c>
    </row>
    <row r="40" spans="2:16" x14ac:dyDescent="0.35">
      <c r="B40" s="7"/>
      <c r="J40" s="8"/>
    </row>
    <row r="41" spans="2:16" ht="23.5" x14ac:dyDescent="0.55000000000000004">
      <c r="B41" s="7"/>
      <c r="C41" s="38" t="s">
        <v>62</v>
      </c>
      <c r="D41" s="39">
        <f>IFERROR(IF(Package="F324",IF(OR(SUM(D30:D35)&gt;0,DDR!C4&gt;0,D36&gt;0.699),L42,0)+'Tj &amp; leakage iterations'!F102+O55+(IF(L48=0,0,(18.25*(G31^2)))),IF(OR(SUM(D30:D35)&gt;0,DDR!C4&gt;0),L42,0)+'Tj &amp; leakage iterations'!F102+(IF(L48=0,0,(18.25*(G31^2))))),"Not Valid")</f>
        <v>125.39099235303432</v>
      </c>
      <c r="J41" s="8"/>
      <c r="L41" s="12" t="s">
        <v>63</v>
      </c>
      <c r="M41" s="12"/>
      <c r="N41" s="12"/>
    </row>
    <row r="42" spans="2:16" ht="28.5" x14ac:dyDescent="0.65">
      <c r="B42" s="7"/>
      <c r="C42" s="40" t="s">
        <v>46</v>
      </c>
      <c r="D42" s="41">
        <f>IFERROR(IF(Package="F400",SUM(D30:D35)+D41+D37,SUM(D30:D37)+D41),"Not Valid")</f>
        <v>1698.8232708383334</v>
      </c>
      <c r="J42" s="8"/>
      <c r="L42" s="18">
        <f>(16/1.2)*(G31^2)</f>
        <v>19.2</v>
      </c>
      <c r="M42" s="12"/>
      <c r="N42" s="12"/>
    </row>
    <row r="43" spans="2:16" ht="15" thickBot="1" x14ac:dyDescent="0.4">
      <c r="B43" s="9"/>
      <c r="C43" s="10"/>
      <c r="D43" s="10"/>
      <c r="E43" s="10"/>
      <c r="F43" s="10"/>
      <c r="G43" s="10"/>
      <c r="H43" s="10"/>
      <c r="I43" s="10"/>
      <c r="J43" s="11"/>
      <c r="L43" s="12"/>
      <c r="M43" s="12"/>
      <c r="N43" s="12"/>
    </row>
    <row r="44" spans="2:16" x14ac:dyDescent="0.35">
      <c r="L44" s="12"/>
      <c r="M44" s="12"/>
      <c r="N44" s="12"/>
    </row>
    <row r="45" spans="2:16" ht="15" hidden="1" customHeight="1" x14ac:dyDescent="0.35">
      <c r="C45" s="12" t="s">
        <v>14</v>
      </c>
      <c r="D45" s="1" t="s">
        <v>202</v>
      </c>
      <c r="E45" s="1" t="s">
        <v>201</v>
      </c>
      <c r="F45" s="1" t="s">
        <v>238</v>
      </c>
      <c r="G45" s="1" t="s">
        <v>12</v>
      </c>
      <c r="H45" s="1" t="s">
        <v>277</v>
      </c>
      <c r="J45" s="1" t="s">
        <v>26</v>
      </c>
      <c r="L45" s="12"/>
      <c r="M45" s="12"/>
      <c r="N45" s="12"/>
      <c r="P45" s="1" t="s">
        <v>227</v>
      </c>
    </row>
    <row r="46" spans="2:16" ht="15" hidden="1" customHeight="1" x14ac:dyDescent="0.35">
      <c r="C46" s="19" t="s">
        <v>218</v>
      </c>
      <c r="D46" s="1" t="s">
        <v>199</v>
      </c>
      <c r="E46" s="1" t="s">
        <v>200</v>
      </c>
      <c r="F46" s="1" t="s">
        <v>239</v>
      </c>
      <c r="G46" s="1" t="s">
        <v>65</v>
      </c>
      <c r="H46" s="1" t="s">
        <v>317</v>
      </c>
      <c r="I46" s="1" t="s">
        <v>29</v>
      </c>
      <c r="J46" s="1" t="s">
        <v>66</v>
      </c>
      <c r="L46" s="12"/>
      <c r="M46" s="12"/>
      <c r="N46" s="12"/>
      <c r="P46" s="1" t="s">
        <v>226</v>
      </c>
    </row>
    <row r="47" spans="2:16" hidden="1" x14ac:dyDescent="0.35">
      <c r="C47" s="19" t="s">
        <v>65</v>
      </c>
      <c r="E47" s="1" t="s">
        <v>7</v>
      </c>
      <c r="F47" s="1" t="s">
        <v>240</v>
      </c>
      <c r="H47" s="1" t="s">
        <v>318</v>
      </c>
      <c r="L47" s="12" t="s">
        <v>67</v>
      </c>
      <c r="M47" s="12"/>
      <c r="N47" s="12"/>
    </row>
    <row r="48" spans="2:16" hidden="1" x14ac:dyDescent="0.35">
      <c r="E48" s="1" t="s">
        <v>64</v>
      </c>
      <c r="F48" s="1" t="s">
        <v>241</v>
      </c>
      <c r="L48" s="12">
        <f>IF(G39="-",0,IF(OR(E11="Nominal",E11="Maximum"),IF(AND(G39&gt;=1.14,G39&lt;=1.3),((10.144*EXP(0.0051*E16))*(G39^2)),IF(AND(G39&gt;=1.283,G39&lt;=1.575),((28.333*EXP(0.002*E16))*(G39^2)))),IF(G39=1.14,((10.144*EXP(0.0051*E16))*(G39^2)),IF(G39&gt;=1.283,((28.333*EXP(0.002*E16))*(G39^2))))))</f>
        <v>0</v>
      </c>
      <c r="M48" s="12"/>
      <c r="N48" s="12"/>
    </row>
    <row r="49" spans="3:15" hidden="1" x14ac:dyDescent="0.35">
      <c r="E49" s="1" t="s">
        <v>231</v>
      </c>
      <c r="F49" s="1" t="str">
        <f>IF(Package="W80","SG_IndustrialOnly",IF(OR(Package="F169",Package="F256"),"SG_AutomotiveEn","SG_STD"))</f>
        <v>SG_STD</v>
      </c>
      <c r="L49" s="12"/>
      <c r="M49" s="12"/>
      <c r="N49" s="12"/>
    </row>
    <row r="50" spans="3:15" hidden="1" x14ac:dyDescent="0.35">
      <c r="E50" s="1" t="s">
        <v>320</v>
      </c>
      <c r="L50" s="12"/>
      <c r="M50" s="12"/>
      <c r="N50" s="12"/>
    </row>
    <row r="51" spans="3:15" hidden="1" x14ac:dyDescent="0.35">
      <c r="C51" s="187"/>
      <c r="D51" s="187"/>
      <c r="E51" s="1" t="s">
        <v>236</v>
      </c>
      <c r="F51" s="1" t="s">
        <v>232</v>
      </c>
      <c r="L51" s="12"/>
      <c r="M51" s="12"/>
      <c r="N51" s="12"/>
    </row>
    <row r="52" spans="3:15" ht="26" hidden="1" x14ac:dyDescent="0.6">
      <c r="C52" s="59"/>
      <c r="D52" s="12"/>
      <c r="F52" s="1" t="s">
        <v>200</v>
      </c>
      <c r="G52" s="1">
        <f>IF(E90="0.0m/s",((-0.016*E89)+24.659),IF(E90="1.0m/s",((-0.0104*E89)+20.279),((-0.0041*E89)+17.71)))</f>
        <v>24.259</v>
      </c>
      <c r="H52" s="27"/>
    </row>
    <row r="53" spans="3:15" ht="23.5" hidden="1" x14ac:dyDescent="0.55000000000000004">
      <c r="C53" s="59"/>
      <c r="D53" s="12"/>
      <c r="F53" s="1" t="s">
        <v>201</v>
      </c>
      <c r="G53" s="1">
        <f>IF(E90="0.0m/s",((-0.0685*E89)+40.135),IF(E90="1.0m/s",((-0.047*E89)+34.505),((-0.0451*E89)+32.736)))</f>
        <v>38.422499999999999</v>
      </c>
      <c r="H53" s="28"/>
      <c r="L53" s="195" t="s">
        <v>55</v>
      </c>
      <c r="M53" s="195"/>
      <c r="N53" s="195"/>
      <c r="O53" s="195"/>
    </row>
    <row r="54" spans="3:15" hidden="1" x14ac:dyDescent="0.35">
      <c r="C54" s="59"/>
      <c r="D54" s="12"/>
      <c r="F54" s="1" t="s">
        <v>231</v>
      </c>
      <c r="G54" s="1">
        <f>IF(E90="0.0m/s",((-0.0453*E89)+46.225),IF(E90="1.0m/s",((-0.0114*E89)+39.622),((-0.008*E89)+38.209)))</f>
        <v>45.092500000000001</v>
      </c>
      <c r="L54" s="71" t="s">
        <v>68</v>
      </c>
      <c r="M54" s="71" t="s">
        <v>69</v>
      </c>
      <c r="N54" s="71" t="s">
        <v>70</v>
      </c>
      <c r="O54" s="71" t="s">
        <v>71</v>
      </c>
    </row>
    <row r="55" spans="3:15" hidden="1" x14ac:dyDescent="0.35">
      <c r="C55" s="59"/>
      <c r="F55" s="1" t="s">
        <v>320</v>
      </c>
      <c r="G55" s="1">
        <f>IF(E90="0.0m/s",((-0.0431*E89)+52.333),IF(E90="1.0m/s",((-0.0166*E89)+46.057),((-0.0107*E89)+43.67)))</f>
        <v>51.255499999999998</v>
      </c>
      <c r="L55" s="74">
        <f>IF(Package="F324",(0.389/1.2)*(G36^2),0)</f>
        <v>0</v>
      </c>
      <c r="M55" s="74">
        <f>IF(Package="F324",(0.1/1.2)*(G37^2),0)</f>
        <v>0</v>
      </c>
      <c r="N55" s="74">
        <f>IF(Package="F324",(0.02/2.5)*(G38^2),0)</f>
        <v>0</v>
      </c>
      <c r="O55" s="74">
        <f>IF(Package="F324",((0.56293)/1.1)*(G31^2),0)</f>
        <v>0</v>
      </c>
    </row>
    <row r="56" spans="3:15" hidden="1" x14ac:dyDescent="0.35">
      <c r="F56" s="1" t="s">
        <v>236</v>
      </c>
      <c r="G56" s="1">
        <f>IF(E90="0.0m/s",((-0.0437*E89)+44.084),IF(E90="1.0m/s",((-0.0159*E89)+38.035),((-0.01*E89)+35.702)))</f>
        <v>42.991500000000002</v>
      </c>
    </row>
    <row r="57" spans="3:15" hidden="1" x14ac:dyDescent="0.35"/>
    <row r="58" spans="3:15" hidden="1" x14ac:dyDescent="0.35"/>
    <row r="59" spans="3:15" hidden="1" x14ac:dyDescent="0.35"/>
    <row r="60" spans="3:15" hidden="1" x14ac:dyDescent="0.35">
      <c r="C60" s="64" t="s">
        <v>72</v>
      </c>
      <c r="D60" s="1" t="s">
        <v>73</v>
      </c>
    </row>
    <row r="61" spans="3:15" hidden="1" x14ac:dyDescent="0.35">
      <c r="C61" s="64">
        <v>85</v>
      </c>
      <c r="D61" s="188" t="s">
        <v>243</v>
      </c>
      <c r="E61" s="188"/>
      <c r="F61" s="188"/>
      <c r="G61" s="188"/>
      <c r="H61" s="188"/>
      <c r="I61" s="188"/>
      <c r="J61" s="188"/>
    </row>
    <row r="62" spans="3:15" hidden="1" x14ac:dyDescent="0.35">
      <c r="C62" s="64">
        <v>100</v>
      </c>
      <c r="D62" s="188" t="s">
        <v>243</v>
      </c>
      <c r="E62" s="188"/>
      <c r="F62" s="188"/>
      <c r="G62" s="188"/>
      <c r="H62" s="188"/>
      <c r="I62" s="188"/>
      <c r="J62" s="188"/>
    </row>
    <row r="63" spans="3:15" hidden="1" x14ac:dyDescent="0.35">
      <c r="C63" s="64"/>
      <c r="D63" s="64"/>
      <c r="E63" s="64"/>
      <c r="F63" s="64"/>
      <c r="G63" s="64"/>
      <c r="H63" s="64"/>
      <c r="I63" s="64"/>
      <c r="J63" s="64"/>
    </row>
    <row r="64" spans="3:15" hidden="1" x14ac:dyDescent="0.35">
      <c r="C64" s="64" t="s">
        <v>74</v>
      </c>
      <c r="D64" s="64" t="s">
        <v>73</v>
      </c>
      <c r="E64" s="64"/>
      <c r="F64" s="64"/>
      <c r="G64" s="64"/>
      <c r="H64" s="64"/>
      <c r="I64" s="64"/>
      <c r="J64" s="64"/>
    </row>
    <row r="65" spans="3:10" hidden="1" x14ac:dyDescent="0.35">
      <c r="C65" s="64">
        <v>100</v>
      </c>
      <c r="D65" s="188" t="s">
        <v>243</v>
      </c>
      <c r="E65" s="188"/>
      <c r="F65" s="188"/>
      <c r="G65" s="188"/>
      <c r="H65" s="188"/>
      <c r="I65" s="188"/>
      <c r="J65" s="188"/>
    </row>
    <row r="66" spans="3:10" hidden="1" x14ac:dyDescent="0.35">
      <c r="C66" s="64">
        <v>125</v>
      </c>
      <c r="D66" s="188" t="s">
        <v>243</v>
      </c>
      <c r="E66" s="188"/>
      <c r="F66" s="188"/>
      <c r="G66" s="188"/>
      <c r="H66" s="188"/>
      <c r="I66" s="188"/>
      <c r="J66" s="188"/>
    </row>
    <row r="67" spans="3:10" hidden="1" x14ac:dyDescent="0.35">
      <c r="C67" s="64"/>
      <c r="D67" s="122"/>
      <c r="E67" s="122"/>
      <c r="F67" s="122"/>
      <c r="G67" s="122"/>
      <c r="H67" s="122"/>
      <c r="I67" s="122"/>
      <c r="J67" s="122"/>
    </row>
    <row r="68" spans="3:10" hidden="1" x14ac:dyDescent="0.35">
      <c r="C68" s="64" t="s">
        <v>242</v>
      </c>
      <c r="D68" s="64" t="s">
        <v>73</v>
      </c>
      <c r="E68" s="64"/>
      <c r="F68" s="64"/>
      <c r="G68" s="64"/>
      <c r="H68" s="64"/>
      <c r="I68" s="64"/>
      <c r="J68" s="64"/>
    </row>
    <row r="69" spans="3:10" hidden="1" x14ac:dyDescent="0.35">
      <c r="C69" s="64">
        <v>105</v>
      </c>
      <c r="D69" s="188" t="s">
        <v>243</v>
      </c>
      <c r="E69" s="188"/>
      <c r="F69" s="188"/>
      <c r="G69" s="188"/>
      <c r="H69" s="188"/>
      <c r="I69" s="188"/>
      <c r="J69" s="188"/>
    </row>
    <row r="70" spans="3:10" hidden="1" x14ac:dyDescent="0.35">
      <c r="C70" s="64">
        <v>130</v>
      </c>
      <c r="D70" s="188" t="s">
        <v>243</v>
      </c>
      <c r="E70" s="188"/>
      <c r="F70" s="188"/>
      <c r="G70" s="188"/>
      <c r="H70" s="188"/>
      <c r="I70" s="188"/>
      <c r="J70" s="188"/>
    </row>
    <row r="71" spans="3:10" hidden="1" x14ac:dyDescent="0.35"/>
    <row r="72" spans="3:10" hidden="1" x14ac:dyDescent="0.35">
      <c r="C72" s="1" t="s">
        <v>72</v>
      </c>
    </row>
    <row r="73" spans="3:10" hidden="1" x14ac:dyDescent="0.35">
      <c r="C73" s="1" t="str">
        <f>VLOOKUP(E22,C61:D62,2,TRUE)</f>
        <v>Device junction temperature exceeds the maximum operating temperature based on the selected grade . Please reduce the ambient temperature or improve cooling solution to your system. Please consult Efinix Application Engineer for more suggestion on the thermal solutions.</v>
      </c>
    </row>
    <row r="74" spans="3:10" hidden="1" x14ac:dyDescent="0.35"/>
    <row r="75" spans="3:10" hidden="1" x14ac:dyDescent="0.35">
      <c r="C75" s="1" t="s">
        <v>74</v>
      </c>
    </row>
    <row r="76" spans="3:10" hidden="1" x14ac:dyDescent="0.35">
      <c r="C76" s="1" t="str">
        <f>VLOOKUP(E22,C65:D66,2,TRUE)</f>
        <v>Device junction temperature exceeds the maximum operating temperature based on the selected grade . Please reduce the ambient temperature or improve cooling solution to your system. Please consult Efinix Application Engineer for more suggestion on the thermal solutions.</v>
      </c>
    </row>
    <row r="77" spans="3:10" hidden="1" x14ac:dyDescent="0.35"/>
    <row r="78" spans="3:10" hidden="1" x14ac:dyDescent="0.35">
      <c r="C78" s="1" t="s">
        <v>242</v>
      </c>
    </row>
    <row r="79" spans="3:10" hidden="1" x14ac:dyDescent="0.35">
      <c r="C79" s="1" t="str">
        <f>VLOOKUP(E22,C69:D70,2,TRUE)</f>
        <v>Device junction temperature exceeds the maximum operating temperature based on the selected grade . Please reduce the ambient temperature or improve cooling solution to your system. Please consult Efinix Application Engineer for more suggestion on the thermal solutions.</v>
      </c>
    </row>
    <row r="80" spans="3:10" hidden="1" x14ac:dyDescent="0.35"/>
    <row r="81" spans="2:14" hidden="1" x14ac:dyDescent="0.35">
      <c r="C81" s="1" t="s">
        <v>75</v>
      </c>
      <c r="L81" s="1" t="s">
        <v>1</v>
      </c>
      <c r="M81" s="18">
        <f>K112</f>
        <v>8.4605608194499737</v>
      </c>
    </row>
    <row r="82" spans="2:14" hidden="1" x14ac:dyDescent="0.35">
      <c r="C82" s="189" t="s">
        <v>244</v>
      </c>
      <c r="D82" s="189"/>
      <c r="E82" s="189"/>
      <c r="F82" s="189"/>
      <c r="G82" s="189"/>
      <c r="H82" s="189"/>
      <c r="I82" s="189"/>
      <c r="L82" s="1" t="s">
        <v>4</v>
      </c>
      <c r="M82" s="18"/>
    </row>
    <row r="83" spans="2:14" hidden="1" x14ac:dyDescent="0.35">
      <c r="L83" s="1" t="s">
        <v>5</v>
      </c>
      <c r="M83" s="18">
        <f>IF(OR(Package="W80",Package="F169"),M81+IF(SUM(D103:D108)&gt;0,L115,IF(D109&gt;0.699,L115,0)),IF(OR(Package="Q100",Package="Q144",Package="F256"),M81+IF(SUM(D103:D108)&gt;0,L115,0),"Invalid"))</f>
        <v>13.380608819449973</v>
      </c>
    </row>
    <row r="84" spans="2:14" x14ac:dyDescent="0.35">
      <c r="L84" s="1" t="s">
        <v>8</v>
      </c>
      <c r="M84" s="18"/>
    </row>
    <row r="85" spans="2:14" x14ac:dyDescent="0.35">
      <c r="B85" s="7"/>
      <c r="D85" s="30" t="s">
        <v>321</v>
      </c>
      <c r="E85" s="31">
        <f>IF(OR($E$7="W80",$E$7="Q100",$E$7="Q144",$E$7="F169",$E$7="F256"),IF($E$9="Typical",IF($E$7="W80",((2.7909*EXP(0.0293*E89))/1.2),IF(OR($E$7="Q100",$E$7="Q144"),((3.3892*EXP(0.0293*E89))/1.2),IF($E$7="F169",((2.7089*EXP(0.0293*E89))/1.2),IF($E$7="F256",((3.3892*EXP(0.0293*E89))/1.2),"Invalid")))),IF($E$9="Maximum",((7.2106*EXP(0.0293*E89))/1.2),"Invalid")),IF(OR($E$7="F324",$E$7="F400"),IF($E$9="Typical",IF($E$7="F324",((19.1814*EXP(0.0181*E89))/1.2),IF($E$7="F400",((19.3955*EXP(0.0181*E89))/1.2),"Invalid")),IF($E$9="Maximum",((34.982*EXP(0.0181*E89))/1.2),"Invalid"))))</f>
        <v>5.8753894579513712</v>
      </c>
      <c r="J85" s="8"/>
      <c r="L85" s="1" t="s">
        <v>10</v>
      </c>
      <c r="M85" s="18">
        <f>IF(OR(Package="W80",Package="F169"),SUM(D103:D109)+M83+M84,IF(Package="Q100",SUM(D103:D108)+D110+M83+M84,IF(OR(Package="Q144",Package="F256"),SUM(D103:D108)+M83+M84,"Invalid")))</f>
        <v>1586.812887304749</v>
      </c>
    </row>
    <row r="86" spans="2:14" x14ac:dyDescent="0.35">
      <c r="B86" s="7"/>
      <c r="J86" s="8"/>
      <c r="L86" s="1" t="s">
        <v>15</v>
      </c>
      <c r="M86" s="12"/>
    </row>
    <row r="87" spans="2:14" x14ac:dyDescent="0.35">
      <c r="B87" s="7"/>
      <c r="D87" s="32"/>
      <c r="J87" s="8"/>
    </row>
    <row r="88" spans="2:14" x14ac:dyDescent="0.35">
      <c r="B88" s="7"/>
      <c r="D88" s="174" t="s">
        <v>19</v>
      </c>
      <c r="E88" s="174"/>
      <c r="F88" s="174"/>
      <c r="G88" s="33"/>
      <c r="H88" s="32"/>
      <c r="J88" s="8"/>
    </row>
    <row r="89" spans="2:14" x14ac:dyDescent="0.35">
      <c r="B89" s="7"/>
      <c r="D89" s="68" t="s">
        <v>20</v>
      </c>
      <c r="E89" s="178">
        <f>Total!E89</f>
        <v>25</v>
      </c>
      <c r="F89" s="178"/>
      <c r="J89" s="8"/>
      <c r="L89" s="1" t="s">
        <v>245</v>
      </c>
      <c r="M89" s="3">
        <f>IF($E$8="Q4",105,IF($E$8="I4",100,IF(OR($E$8="C3",$E$8="C4"),85,"Invalid")))</f>
        <v>85</v>
      </c>
      <c r="N89" s="1" t="s">
        <v>27</v>
      </c>
    </row>
    <row r="90" spans="2:14" x14ac:dyDescent="0.35">
      <c r="B90" s="7"/>
      <c r="D90" s="29" t="s">
        <v>23</v>
      </c>
      <c r="E90" s="179" t="str">
        <f>Total!E90</f>
        <v>0.0m/s</v>
      </c>
      <c r="F90" s="179"/>
      <c r="J90" s="8"/>
      <c r="L90" s="1" t="s">
        <v>22</v>
      </c>
      <c r="M90" s="18">
        <f>(IF(OR($E$7="W80",$E$7="Q100",$E$7="Q144",$E$7="F169",$E$7="F256"),IF($E$9="Typical",IF($E$7="W80",((2.7909*EXP(0.0293*$M$89))/1.2),IF(OR($E$7="Q100",$E$7="Q144"),((3.3892*EXP(0.0293*$M$89))/1.2),IF($E$7="F169",((2.7089*EXP(0.0293*$M$89))/1.2),IF($E$7="F256",((3.3892*EXP(0.0293*$M$89))/1.2),"Invalid")))),IF($E$9="Maximum",((7.2106*EXP(0.0293*$M$89))/1.2),"Invalid")),IF(OR($E$7="F324",$E$7="F400"),IF($E$9="Typical",IF($E$7="F324",((19.1814*EXP(0.0181*$M$89))/1.2),IF($E$7="F400",((19.3955*EXP(0.0181*$M$89))/1.2),"Invalid")),IF($E$9="Maximum",((34.982*EXP(0.0181*$M$89))/1.2),"Invalid")))))*$G$104^2</f>
        <v>49.078225411843569</v>
      </c>
      <c r="N90" s="1">
        <f>IF(OR(Package="W80",Package="F169"),IF(SUM(D103:D108)&gt;0,L115,IF(D109&gt;0.699,L115,0)),IF(SUM(D103:D108)&gt;0,L115,0))</f>
        <v>4.9200479999999995</v>
      </c>
    </row>
    <row r="91" spans="2:14" x14ac:dyDescent="0.35">
      <c r="B91" s="7"/>
      <c r="D91" s="29" t="s">
        <v>25</v>
      </c>
      <c r="E91" s="179" t="str">
        <f>Total!E91</f>
        <v>None</v>
      </c>
      <c r="F91" s="179"/>
      <c r="J91" s="8"/>
      <c r="L91" s="1" t="s">
        <v>203</v>
      </c>
      <c r="M91" s="18">
        <f>IFERROR(IF(OR(Package="W80",Package="F169"),IF(OR(SUM(D103:D108)&gt;0,D109&gt;0.699),L115,0)+O109,IF(Package="Q100",IF(SUM(D103:D108)&gt;0,L115,0)+Flash!B5,IF(SUM(D103:D108)&gt;0,L115,0))),"Invalid")</f>
        <v>4.9860479999999994</v>
      </c>
    </row>
    <row r="92" spans="2:14" x14ac:dyDescent="0.35">
      <c r="B92" s="7"/>
      <c r="D92" s="29" t="s">
        <v>28</v>
      </c>
      <c r="E92" s="166" t="str">
        <f>Total!E92</f>
        <v>JEDEC (2s2p)</v>
      </c>
      <c r="F92" s="166"/>
      <c r="J92" s="8"/>
      <c r="L92" s="1" t="s">
        <v>43</v>
      </c>
      <c r="M92" s="18">
        <f>SUM(M90:M91)</f>
        <v>54.064273411843565</v>
      </c>
    </row>
    <row r="93" spans="2:14" x14ac:dyDescent="0.35">
      <c r="B93" s="7"/>
      <c r="D93" s="29" t="s">
        <v>30</v>
      </c>
      <c r="E93" s="166">
        <f>Total!E93</f>
        <v>50</v>
      </c>
      <c r="F93" s="166"/>
      <c r="J93" s="8"/>
      <c r="M93" s="18"/>
    </row>
    <row r="94" spans="2:14" x14ac:dyDescent="0.35">
      <c r="B94" s="7"/>
      <c r="D94" s="29" t="s">
        <v>30</v>
      </c>
      <c r="E94" s="176" cm="1">
        <f t="array" ref="E94">_xlfn.SWITCH(E7,"F256",G52,"F169",G53,"W80",G54,"Q100",G55,"Q144",G56,"invalid package")</f>
        <v>51.255499999999998</v>
      </c>
      <c r="F94" s="176"/>
      <c r="J94" s="8"/>
    </row>
    <row r="95" spans="2:14" x14ac:dyDescent="0.35">
      <c r="B95" s="7"/>
      <c r="D95" s="29" t="s">
        <v>31</v>
      </c>
      <c r="E95" s="176">
        <f>IFERROR('Tj &amp; leakage iterations'!D102,"Not Valid")</f>
        <v>111.34211007871819</v>
      </c>
      <c r="F95" s="176"/>
      <c r="J95" s="8"/>
    </row>
    <row r="96" spans="2:14" x14ac:dyDescent="0.35">
      <c r="B96" s="7"/>
      <c r="D96" s="29" t="s">
        <v>32</v>
      </c>
      <c r="E96" s="176">
        <f>M98</f>
        <v>5.7905565674420245</v>
      </c>
      <c r="F96" s="190"/>
      <c r="J96" s="8"/>
      <c r="L96" s="1" t="s">
        <v>46</v>
      </c>
      <c r="M96" s="18">
        <f>IF(OR(Package="F169",Package="W80"),SUM(D103:D109)+M92,IF(Package="Q100",SUM(D103:D108)+D110+M92,IF(OR(Package="Q144",Package="F256"),SUM(D103:D108)+M92,"Invalid")))</f>
        <v>1627.4965518971426</v>
      </c>
    </row>
    <row r="97" spans="2:15" x14ac:dyDescent="0.35">
      <c r="B97" s="7"/>
      <c r="J97" s="8"/>
      <c r="L97" s="1" t="s">
        <v>49</v>
      </c>
      <c r="M97" s="12">
        <f>IF(Package="W80",IF(E90="0.0m/s",((-0.0453*M89)+46.225),IF(E90="1.0m/s",((-0.0114*M89)+39.622),IF(E90="2.5m/s",((-0.008*M89)+38.209),"Invalid"))),IF(Package="Q100",IF(E90="0.0m/s",((-0.0431*M89)+52.333),IF(E90="1.0m/s",((-0.0166*M89)+46.057),IF(E90="2.5m/s",((-0.0107*M89)+43.67),"Invalid"))),IF(Package="Q144",IF(E90="0.0m/s",((-0.0437*M89)+44.084),IF(E90="1.0m/s",((-0.0159*M89)+38.035),IF(E90="2.5m/s",((-0.01*M89)+35.702),"Invalid"))),IF(Package="F169",IF(E90="0.0m/s",((-0.0685*M89)+40.135),IF(E90="1.0m/s",((-0.047*M89)+34.505),IF(E90="2.5m/s",((-0.0451*M89)+32.736),"Invalid"))),IF(E90="0.0m/s",((-0.016*M89)+24.659),IF(E90="1.0m/s",((-0.0104*M89)+20.279),IF(E90="2.5m/s",((-0.0041*M89)+17.71),"Invalid")))))))</f>
        <v>48.669499999999999</v>
      </c>
    </row>
    <row r="98" spans="2:15" ht="18.5" x14ac:dyDescent="0.45">
      <c r="B98" s="7"/>
      <c r="C98" s="65" t="s">
        <v>33</v>
      </c>
      <c r="D98" s="63"/>
      <c r="E98" s="66"/>
      <c r="F98" s="66"/>
      <c r="G98" s="63"/>
      <c r="H98" s="63"/>
      <c r="I98" s="67"/>
      <c r="J98" s="8"/>
      <c r="L98" s="1" t="s">
        <v>52</v>
      </c>
      <c r="M98" s="18">
        <f>M89-(M97*(M96/1000))</f>
        <v>5.7905565674420245</v>
      </c>
    </row>
    <row r="99" spans="2:15" ht="42.65" customHeight="1" x14ac:dyDescent="0.35">
      <c r="B99" s="7"/>
      <c r="C99" s="183" t="str">
        <f>IFERROR(IF(E22="Not Valid",C82,IF(E8="Q4",C79,IF(E8="I4",C76,C73))),"-")</f>
        <v>Device junction temperature exceeds the maximum operating temperature based on the selected grade . Please reduce the ambient temperature or improve cooling solution to your system. Please consult Efinix Application Engineer for more suggestion on the thermal solutions.</v>
      </c>
      <c r="D99" s="184"/>
      <c r="E99" s="184"/>
      <c r="F99" s="184"/>
      <c r="G99" s="184"/>
      <c r="H99" s="184"/>
      <c r="I99" s="185"/>
      <c r="J99" s="8"/>
      <c r="M99" s="12"/>
    </row>
    <row r="100" spans="2:15" x14ac:dyDescent="0.35">
      <c r="B100" s="7"/>
      <c r="J100" s="8"/>
      <c r="L100" s="165" t="s">
        <v>337</v>
      </c>
      <c r="M100" s="12"/>
    </row>
    <row r="101" spans="2:15" x14ac:dyDescent="0.35">
      <c r="B101" s="7"/>
      <c r="C101" s="174" t="s">
        <v>34</v>
      </c>
      <c r="D101" s="174"/>
      <c r="F101" s="174" t="s">
        <v>35</v>
      </c>
      <c r="G101" s="174"/>
      <c r="H101" s="174"/>
      <c r="I101" s="174"/>
      <c r="J101" s="8"/>
    </row>
    <row r="102" spans="2:15" x14ac:dyDescent="0.35">
      <c r="B102" s="7"/>
      <c r="C102" s="29" t="s">
        <v>36</v>
      </c>
      <c r="D102" s="35" t="s">
        <v>37</v>
      </c>
      <c r="F102" s="186" t="s">
        <v>38</v>
      </c>
      <c r="G102" s="186" t="s">
        <v>39</v>
      </c>
      <c r="H102" s="186" t="s">
        <v>40</v>
      </c>
      <c r="I102" s="186" t="s">
        <v>41</v>
      </c>
      <c r="J102" s="8"/>
    </row>
    <row r="103" spans="2:15" x14ac:dyDescent="0.35">
      <c r="B103" s="7"/>
      <c r="C103" s="34" t="s">
        <v>44</v>
      </c>
      <c r="D103" s="36">
        <f>Logic!C2</f>
        <v>947.24986291199991</v>
      </c>
      <c r="F103" s="186"/>
      <c r="G103" s="186"/>
      <c r="H103" s="186"/>
      <c r="I103" s="186"/>
      <c r="J103" s="8"/>
    </row>
    <row r="104" spans="2:15" x14ac:dyDescent="0.35">
      <c r="B104" s="7"/>
      <c r="C104" s="34" t="s">
        <v>45</v>
      </c>
      <c r="D104" s="36">
        <f>Memory!C2</f>
        <v>430.18581600000005</v>
      </c>
      <c r="F104" s="37" t="s">
        <v>24</v>
      </c>
      <c r="G104" s="22">
        <f>Logic!B2</f>
        <v>1.2</v>
      </c>
      <c r="H104" s="49">
        <f>Logic!C2+Memory!C2+Multiplier!C2+Clock!C2+IO!D2+PLL!C2+'Tj &amp; leakage iterations'!F102+IF(OR(Package="W80",Package="F169"),IF(OR(SUM(D103:D108)&gt;0,D109&gt;1.38),L115+MIPI!C2+O109,MIPI!C2+O109),IF(SUM(D103:D108)&gt;0,L115,0))</f>
        <v>1684.5433188383333</v>
      </c>
      <c r="I104" s="49">
        <f>H104/G104</f>
        <v>1403.7860990319446</v>
      </c>
      <c r="J104" s="8"/>
    </row>
    <row r="105" spans="2:15" x14ac:dyDescent="0.35">
      <c r="B105" s="7"/>
      <c r="C105" s="34" t="s">
        <v>47</v>
      </c>
      <c r="D105" s="36">
        <f>Multiplier!C2</f>
        <v>128.24183087999998</v>
      </c>
      <c r="F105" s="37" t="s">
        <v>48</v>
      </c>
      <c r="G105" s="22">
        <f>PLL!B3</f>
        <v>1.2</v>
      </c>
      <c r="H105" s="49">
        <f>PLL!C3</f>
        <v>0</v>
      </c>
      <c r="I105" s="49">
        <f>H105/G105</f>
        <v>0</v>
      </c>
      <c r="J105" s="8"/>
    </row>
    <row r="106" spans="2:15" x14ac:dyDescent="0.35">
      <c r="B106" s="7"/>
      <c r="C106" s="34" t="s">
        <v>50</v>
      </c>
      <c r="D106" s="36">
        <f>IO!D6+IO!D2</f>
        <v>0</v>
      </c>
      <c r="F106" s="186" t="s">
        <v>51</v>
      </c>
      <c r="G106" s="22">
        <f>IO!B3</f>
        <v>1.8</v>
      </c>
      <c r="H106" s="49">
        <f>IO!D3</f>
        <v>0</v>
      </c>
      <c r="I106" s="49">
        <f t="shared" ref="I106:I108" si="1">H106/G106</f>
        <v>0</v>
      </c>
      <c r="J106" s="8"/>
    </row>
    <row r="107" spans="2:15" x14ac:dyDescent="0.35">
      <c r="B107" s="7"/>
      <c r="C107" s="29" t="s">
        <v>53</v>
      </c>
      <c r="D107" s="49">
        <f>Clock!C2</f>
        <v>67.754768693299212</v>
      </c>
      <c r="F107" s="186"/>
      <c r="G107" s="22">
        <f>IO!B4</f>
        <v>2.5</v>
      </c>
      <c r="H107" s="49">
        <f>IO!D4</f>
        <v>0</v>
      </c>
      <c r="I107" s="49">
        <f t="shared" si="1"/>
        <v>0</v>
      </c>
      <c r="J107" s="8"/>
    </row>
    <row r="108" spans="2:15" x14ac:dyDescent="0.35">
      <c r="B108" s="7"/>
      <c r="C108" s="29" t="s">
        <v>54</v>
      </c>
      <c r="D108" s="49">
        <f>PLL!C4</f>
        <v>0</v>
      </c>
      <c r="F108" s="186"/>
      <c r="G108" s="22">
        <f>IO!B5</f>
        <v>3.3</v>
      </c>
      <c r="H108" s="49">
        <f>IF(Package="Q100",IO!D5+Flash!C2,IO!D5)</f>
        <v>6.6000000000000003E-2</v>
      </c>
      <c r="I108" s="49">
        <f t="shared" si="1"/>
        <v>0.02</v>
      </c>
      <c r="J108" s="8"/>
      <c r="L108" s="12" t="s">
        <v>204</v>
      </c>
      <c r="M108" s="12" t="s">
        <v>205</v>
      </c>
      <c r="N108" s="12" t="s">
        <v>206</v>
      </c>
      <c r="O108" s="1" t="s">
        <v>207</v>
      </c>
    </row>
    <row r="109" spans="2:15" x14ac:dyDescent="0.35">
      <c r="B109" s="69"/>
      <c r="C109" s="29" t="s">
        <v>55</v>
      </c>
      <c r="D109" s="49">
        <f>SUM(MIPI!C2:C5)+SUM(L109:N109)</f>
        <v>0</v>
      </c>
      <c r="F109" s="37" t="s">
        <v>56</v>
      </c>
      <c r="G109" s="22">
        <f>MIPI!B3</f>
        <v>1.2</v>
      </c>
      <c r="H109" s="49">
        <f>IF(OR(Package="W80",Package="F169"),MIPI!C3+L109,0)</f>
        <v>0</v>
      </c>
      <c r="I109" s="49">
        <f>H109/G109</f>
        <v>0</v>
      </c>
      <c r="J109" s="46"/>
      <c r="L109" s="12">
        <f>IF(OR(Package="F169",Package="W80"),(0.389/1.2)*(G109^2),0)</f>
        <v>0</v>
      </c>
      <c r="M109" s="12">
        <f>IF(OR(Package="F169",Package="W80"),(0.1/1.2)*(G110^2),0)</f>
        <v>0</v>
      </c>
      <c r="N109" s="12">
        <f>IF(OR(Package="F169",Package="W80"),(0.02/2.5)*(G111^2),0)</f>
        <v>0</v>
      </c>
      <c r="O109" s="12">
        <f>IF(OR(Package="F169",Package="W80"),((0.56293)/1.1)*(G104^2),0)</f>
        <v>0</v>
      </c>
    </row>
    <row r="110" spans="2:15" x14ac:dyDescent="0.35">
      <c r="B110" s="69"/>
      <c r="C110" s="29" t="s">
        <v>325</v>
      </c>
      <c r="D110" s="49">
        <f>Flash!C5</f>
        <v>0</v>
      </c>
      <c r="F110" s="37" t="s">
        <v>58</v>
      </c>
      <c r="G110" s="22">
        <f>MIPI!B4</f>
        <v>1.2</v>
      </c>
      <c r="H110" s="49">
        <f>IF(OR(Package="W80",Package="F169"),MIPI!C4+M109,0)</f>
        <v>0</v>
      </c>
      <c r="I110" s="49">
        <f>H110/G110</f>
        <v>0</v>
      </c>
      <c r="J110" s="46"/>
    </row>
    <row r="111" spans="2:15" ht="23.5" x14ac:dyDescent="0.55000000000000004">
      <c r="B111" s="69"/>
      <c r="C111" s="38" t="s">
        <v>59</v>
      </c>
      <c r="D111" s="39">
        <f>IF(OR(Package="F169",Package="W80"),SUM(D103:D109),IF(Package="Q100",SUM(D103:D108)+D110,SUM(D103:D108)))</f>
        <v>1573.4322784852991</v>
      </c>
      <c r="F111" s="37" t="s">
        <v>60</v>
      </c>
      <c r="G111" s="22">
        <f>MIPI!B5</f>
        <v>2.5</v>
      </c>
      <c r="H111" s="49">
        <f>IF(OR(Package="W80",Package="F169"),MIPI!C5+N109,0)</f>
        <v>0</v>
      </c>
      <c r="I111" s="49">
        <f>H111/G111</f>
        <v>0</v>
      </c>
      <c r="J111" s="46"/>
    </row>
    <row r="112" spans="2:15" x14ac:dyDescent="0.35">
      <c r="B112" s="7"/>
      <c r="J112" s="8"/>
      <c r="K112" s="1">
        <f>IF(calTotal!E10="No",IF(E11="Nominal",E85*(1.2^2),IF(E11="Minimum",E85*(1.15^2),IF(E11="Maximum",E85*(1.25^2),"Invalid"))),IF(E11="Nominal",E85*(1.1^2),IF(E11="Minimum",E85*(1.05^2),IF(E11="Maximum",E85*(1.15^2),"Invalid"))))</f>
        <v>8.4605608194499737</v>
      </c>
    </row>
    <row r="113" spans="2:12" x14ac:dyDescent="0.35">
      <c r="B113" s="7"/>
      <c r="J113" s="8"/>
    </row>
    <row r="114" spans="2:12" ht="23.5" x14ac:dyDescent="0.55000000000000004">
      <c r="B114" s="7"/>
      <c r="C114" s="38" t="s">
        <v>62</v>
      </c>
      <c r="D114" s="39">
        <f>IFERROR(IF(OR(Package="W80",Package="F169"),IF(OR(SUM(D103:D108)&gt;0,D109&gt;0.699),L115,0)+'Tj &amp; leakage iterations'!F102+O109,IF(Package="Q100",IF(SUM(D103:D108)&gt;0,L115,0)+Flash!B5+'Tj &amp; leakage iterations'!F102,IF(SUM(D103:D108)&gt;0,L115,0)+'Tj &amp; leakage iterations'!F102)),"Invalid")</f>
        <v>111.17704035303431</v>
      </c>
      <c r="J114" s="8"/>
      <c r="L114" s="1" t="s">
        <v>208</v>
      </c>
    </row>
    <row r="115" spans="2:12" ht="28.5" x14ac:dyDescent="0.65">
      <c r="B115" s="7"/>
      <c r="C115" s="40" t="s">
        <v>46</v>
      </c>
      <c r="D115" s="41">
        <f>IF(OR(Package="F169",Package="W80"),SUM(D103:D109)+D114,IF(Package="Q100",SUM(D103:D108)+D110+D114,SUM(D103:D108)+D114))</f>
        <v>1684.6093188383334</v>
      </c>
      <c r="J115" s="8"/>
      <c r="L115" s="1">
        <f>IF(SUM(D103:D109)=0,0,3.4167*(G104^2))</f>
        <v>4.9200479999999995</v>
      </c>
    </row>
    <row r="116" spans="2:12" ht="15" thickBot="1" x14ac:dyDescent="0.4">
      <c r="B116" s="9"/>
      <c r="C116" s="10"/>
      <c r="D116" s="10"/>
      <c r="E116" s="10"/>
      <c r="F116" s="10"/>
      <c r="G116" s="10"/>
      <c r="H116" s="10"/>
      <c r="I116" s="10"/>
      <c r="J116" s="11"/>
    </row>
  </sheetData>
  <sheetProtection algorithmName="SHA-512" hashValue="8QPvo1oBXqwSIbTyNs6hFZjlGTeJ5INheIcfowh5r5xrgcLRD+fQVxVrARGZJr2iqYKsZ2u27fDjWNE8uXZqxA==" saltValue="Ahnyr6mVDCN8r9sS6Muh4Q==" spinCount="100000" sheet="1" objects="1" scenarios="1"/>
  <mergeCells count="52">
    <mergeCell ref="L53:O53"/>
    <mergeCell ref="C51:D51"/>
    <mergeCell ref="E21:F21"/>
    <mergeCell ref="F28:I28"/>
    <mergeCell ref="C28:D28"/>
    <mergeCell ref="E23:F23"/>
    <mergeCell ref="F29:F30"/>
    <mergeCell ref="G29:G30"/>
    <mergeCell ref="H29:H30"/>
    <mergeCell ref="I29:I30"/>
    <mergeCell ref="F33:F35"/>
    <mergeCell ref="C26:I26"/>
    <mergeCell ref="E19:F19"/>
    <mergeCell ref="E17:F17"/>
    <mergeCell ref="E16:F16"/>
    <mergeCell ref="E22:F22"/>
    <mergeCell ref="B2:J2"/>
    <mergeCell ref="D15:F15"/>
    <mergeCell ref="D4:F4"/>
    <mergeCell ref="E5:F5"/>
    <mergeCell ref="E6:F6"/>
    <mergeCell ref="E7:F7"/>
    <mergeCell ref="E11:F11"/>
    <mergeCell ref="E9:F9"/>
    <mergeCell ref="E8:F8"/>
    <mergeCell ref="E18:F18"/>
    <mergeCell ref="E20:F20"/>
    <mergeCell ref="E10:F10"/>
    <mergeCell ref="D61:J61"/>
    <mergeCell ref="D62:J62"/>
    <mergeCell ref="D65:J65"/>
    <mergeCell ref="D66:J66"/>
    <mergeCell ref="C82:I82"/>
    <mergeCell ref="D69:J69"/>
    <mergeCell ref="D70:J70"/>
    <mergeCell ref="D88:F88"/>
    <mergeCell ref="E89:F89"/>
    <mergeCell ref="E90:F90"/>
    <mergeCell ref="E92:F92"/>
    <mergeCell ref="E94:F94"/>
    <mergeCell ref="E91:F91"/>
    <mergeCell ref="E93:F93"/>
    <mergeCell ref="F106:F108"/>
    <mergeCell ref="E95:F95"/>
    <mergeCell ref="E96:F96"/>
    <mergeCell ref="C101:D101"/>
    <mergeCell ref="F101:I101"/>
    <mergeCell ref="F102:F103"/>
    <mergeCell ref="G102:G103"/>
    <mergeCell ref="H102:H103"/>
    <mergeCell ref="I102:I103"/>
    <mergeCell ref="C99:I99"/>
  </mergeCells>
  <conditionalFormatting sqref="F36:I38 C36:D36">
    <cfRule type="expression" dxfId="5" priority="3">
      <formula>$E$7="F400"</formula>
    </cfRule>
  </conditionalFormatting>
  <conditionalFormatting sqref="F109:I111 C109:D109">
    <cfRule type="expression" dxfId="4" priority="1">
      <formula>OR($E$7="F256", $E$7="Q144")</formula>
    </cfRule>
  </conditionalFormatting>
  <dataValidations count="1">
    <dataValidation allowBlank="1" showInputMessage="1" showErrorMessage="1" promptTitle="Maximum ambient temperature" prompt="Maximum Ta that the device subject without violate maximum junction temperature" sqref="G15 G88" xr:uid="{1BBB5FF1-567F-4C26-A583-3D525A57840C}"/>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B2A374-57F9-4AD0-83F1-5F5804CEE088}">
  <sheetPr codeName="Sheet11"/>
  <dimension ref="C1:H256"/>
  <sheetViews>
    <sheetView showGridLines="0" showRowColHeaders="0" workbookViewId="0">
      <selection activeCell="C1" sqref="C1"/>
    </sheetView>
  </sheetViews>
  <sheetFormatPr defaultColWidth="8.81640625" defaultRowHeight="14.5" x14ac:dyDescent="0.35"/>
  <cols>
    <col min="1" max="3" width="8.81640625" style="1"/>
    <col min="4" max="4" width="12" style="1" bestFit="1" customWidth="1"/>
    <col min="5" max="5" width="22.1796875" style="1" bestFit="1" customWidth="1"/>
    <col min="6" max="7" width="18.453125" style="1" bestFit="1" customWidth="1"/>
    <col min="8" max="8" width="15.81640625" style="1" bestFit="1" customWidth="1"/>
    <col min="9" max="16384" width="8.81640625" style="1"/>
  </cols>
  <sheetData>
    <row r="1" spans="3:8" x14ac:dyDescent="0.35">
      <c r="C1" s="93"/>
      <c r="D1" s="94"/>
      <c r="E1" s="201" t="s">
        <v>76</v>
      </c>
      <c r="F1" s="201"/>
      <c r="G1" s="94" t="s">
        <v>77</v>
      </c>
      <c r="H1" s="95"/>
    </row>
    <row r="2" spans="3:8" x14ac:dyDescent="0.35">
      <c r="C2" s="96" t="s">
        <v>78</v>
      </c>
      <c r="D2" s="92" t="s">
        <v>79</v>
      </c>
      <c r="E2" s="92" t="s">
        <v>323</v>
      </c>
      <c r="F2" s="92" t="s">
        <v>80</v>
      </c>
      <c r="G2" s="92" t="s">
        <v>80</v>
      </c>
      <c r="H2" s="97" t="s">
        <v>81</v>
      </c>
    </row>
    <row r="3" spans="3:8" x14ac:dyDescent="0.35">
      <c r="C3" s="96">
        <v>1</v>
      </c>
      <c r="D3" s="92">
        <f>IF(OR(Package="F324",Package="F400"),calTotal!$E$16+(IF(calTotal!$E$18="None",calTotal!$E$21,calTotal!$E$20)*(calTotal!$M$18*0.001)),calTotal!$E$89+(IF(calTotal!$E$91="None",calTotal!$E$94,calTotal!$E$93)*(calTotal!$M$85*0.001)))</f>
        <v>106.33288794524856</v>
      </c>
      <c r="E3" s="92">
        <f>IF(OR(calTotal!$E$7="W80",calTotal!$E$7="Q100",calTotal!$E$7="Q144",calTotal!$E$7="F169",calTotal!$E$7="F256"),IF(calTotal!$E$9="Typical",IF(calTotal!$E$7="W80",(2.7909*EXP(0.0293*D3)/1.2),IF(OR(calTotal!$E$7="Q100",calTotal!$E$7="Q144"),(3.3892*EXP(0.0293*D3)/1.2),IF(calTotal!$E$7="F169",(2.7089*EXP(0.0293*D3)/1.2),IF(calTotal!$E$7="F256",(3.3892*EXP(0.0293*D3)/1.2),"Invalid")))),IF(calTotal!$E$9="Maximum",(7.2106*EXP(0.0293*D3)/1.2),"Invalid")),IF(OR(calTotal!$E$7="F324",calTotal!$E$7="F400"),IF(calTotal!$E$9="Typical",IF(calTotal!$E$7="F324",(19.1814*EXP(0.0181*D3)/1.2),IF(calTotal!$E$7="F400",(19.3955*EXP(0.0181*D3)/1.2),"Invalid")),IF(calTotal!$E$9="Maximum",(34.982*EXP(0.0181*D3)/1.2),"Invalid"))))</f>
        <v>63.677161451351637</v>
      </c>
      <c r="F3" s="98">
        <f>IF(OR(Package="F324",Package="F400"),E3*(calTotal!$G$31^2),E3*(calTotal!$G$104^2))</f>
        <v>91.695112489946354</v>
      </c>
      <c r="G3" s="98">
        <f>IF(calTotal!$G$39="-",0,IF(OR(calTotal!$E$11="Nominal",calTotal!$E$11="Maximum"),IF(AND(calTotal!$G$39&gt;=1.14,calTotal!$G$39&lt;=1.3),((10.144*EXP(0.0051*D3))*(calTotal!$G$39^2)),((28.333*EXP(0.002*D3))*(calTotal!$G$39^2))),IF(calTotal!$G$39=1.14,((10.144*EXP(0.0051*D3))*(calTotal!$G$39^2)),((28.333*EXP(0.002*D3))*(calTotal!$G$39^2)))))</f>
        <v>0</v>
      </c>
      <c r="H3" s="99">
        <f>IF(Package="F324",SUM(calTotal!$D$30:$D$36)+calTotal!$M$19+F3+G3+calTotal!$N$28,IF(Package="F400",SUM(calTotal!$D$30:$D$35)+calTotal!$M$19+F3+G3+calTotal!$N$28,IF(OR(Package="W80",Package="F169"),SUM(calTotal!$D$103:$D$109)+F3+calTotal!$N$90,SUM(calTotal!$D$103:$D$108)+F3+calTotal!$N$90)))</f>
        <v>1670.0474389752453</v>
      </c>
    </row>
    <row r="4" spans="3:8" x14ac:dyDescent="0.35">
      <c r="C4" s="96">
        <v>2</v>
      </c>
      <c r="D4" s="92">
        <f>IF(OR(Package="F324",Package="F400"),calTotal!$E$16+(IF(calTotal!$E$18="None",calTotal!$E$21,calTotal!$E$20)*(H3*0.001)),calTotal!$E$89+(IF(calTotal!$E$91="None",calTotal!$E$94,calTotal!$E$93)*(H3*0.001)))</f>
        <v>110.59911650839568</v>
      </c>
      <c r="E4" s="92">
        <f>IF(OR(calTotal!$E$7="W80",calTotal!$E$7="Q100",calTotal!$E$7="Q144",calTotal!$E$7="F169",calTotal!$E$7="F256"),IF(calTotal!$E$9="Typical",IF(calTotal!$E$7="W80",(2.7909*EXP(0.0293*D4)/1.2),IF(OR(calTotal!$E$7="Q100",calTotal!$E$7="Q144"),(3.3892*EXP(0.0293*D4)/1.2),IF(calTotal!$E$7="F169",(2.7089*EXP(0.0293*D4)/1.2),IF(calTotal!$E$7="F256",(3.3892*EXP(0.0293*D4)/1.2),"Invalid")))),IF(calTotal!$E$9="Maximum",(7.2106*EXP(0.0293*D4)/1.2),"Invalid")),IF(OR(calTotal!$E$7="F324",calTotal!$E$7="F400"),IF(calTotal!$E$9="Typical",IF(calTotal!$E$7="F324",(19.1814*EXP(0.0181*D4)/1.2),IF(calTotal!$E$7="F400",(19.3955*EXP(0.0181*D4)/1.2),"Invalid")),IF(calTotal!$E$9="Maximum",(34.982*EXP(0.0181*D4)/1.2),"Invalid"))))</f>
        <v>72.155712848465669</v>
      </c>
      <c r="F4" s="98">
        <f>IF(OR(Package="F324",Package="F400"),E4*(calTotal!$G$31^2),E4*(calTotal!$G$104^2))</f>
        <v>103.90422650179056</v>
      </c>
      <c r="G4" s="98">
        <f>IF(calTotal!$G$39="-",0,IF(OR(calTotal!$E$11="Nominal",calTotal!$E$11="Maximum"),IF(AND(calTotal!$G$39&gt;=1.14,calTotal!$G$39&lt;=1.3),((10.144*EXP(0.0051*D4))*(calTotal!$G$39^2)),((28.333*EXP(0.002*D4))*(calTotal!$G$39^2))),IF(calTotal!$G$39=1.14,((10.144*EXP(0.0051*D4))*(calTotal!$G$39^2)),((28.333*EXP(0.002*D4))*(calTotal!$G$39^2)))))</f>
        <v>0</v>
      </c>
      <c r="H4" s="99">
        <f>IF(Package="F324",SUM(calTotal!$D$30:$D$36)+calTotal!$M$19+F4+G4+calTotal!$N$28,IF(Package="F400",SUM(calTotal!$D$30:$D$35)+calTotal!$M$19+F4+G4+calTotal!$N$28,IF(OR(Package="W80",Package="F169"),SUM(calTotal!$D$103:$D$109)+F4+calTotal!$N$90,SUM(calTotal!$D$103:$D$108)+F4+calTotal!$N$90)))</f>
        <v>1682.2565529870897</v>
      </c>
    </row>
    <row r="5" spans="3:8" x14ac:dyDescent="0.35">
      <c r="C5" s="96">
        <v>3</v>
      </c>
      <c r="D5" s="92">
        <f>IF(OR(Package="F324",Package="F400"),calTotal!$E$16+(IF(calTotal!$E$18="None",calTotal!$E$21,calTotal!$E$20)*(H4*0.001)),calTotal!$E$89+(IF(calTotal!$E$91="None",calTotal!$E$94,calTotal!$E$93)*(H4*0.001)))</f>
        <v>111.22490075162978</v>
      </c>
      <c r="E5" s="92">
        <f>IF(OR(calTotal!$E$7="W80",calTotal!$E$7="Q100",calTotal!$E$7="Q144",calTotal!$E$7="F169",calTotal!$E$7="F256"),IF(calTotal!$E$9="Typical",IF(calTotal!$E$7="W80",(2.7909*EXP(0.0293*D5)/1.2),IF(OR(calTotal!$E$7="Q100",calTotal!$E$7="Q144"),(3.3892*EXP(0.0293*D5)/1.2),IF(calTotal!$E$7="F169",(2.7089*EXP(0.0293*D5)/1.2),IF(calTotal!$E$7="F256",(3.3892*EXP(0.0293*D5)/1.2),"Invalid")))),IF(calTotal!$E$9="Maximum",(7.2106*EXP(0.0293*D5)/1.2),"Invalid")),IF(OR(calTotal!$E$7="F324",calTotal!$E$7="F400"),IF(calTotal!$E$9="Typical",IF(calTotal!$E$7="F324",(19.1814*EXP(0.0181*D5)/1.2),IF(calTotal!$E$7="F400",(19.3955*EXP(0.0181*D5)/1.2),"Invalid")),IF(calTotal!$E$9="Maximum",(34.982*EXP(0.0181*D5)/1.2),"Invalid"))))</f>
        <v>73.490925835070499</v>
      </c>
      <c r="F5" s="98">
        <f>IF(OR(Package="F324",Package="F400"),E5*(calTotal!$G$31^2),E5*(calTotal!$G$104^2))</f>
        <v>105.82693320250151</v>
      </c>
      <c r="G5" s="98">
        <f>IF(calTotal!$G$39="-",0,IF(OR(calTotal!$E$11="Nominal",calTotal!$E$11="Maximum"),IF(AND(calTotal!$G$39&gt;=1.14,calTotal!$G$39&lt;=1.3),((10.144*EXP(0.0051*D5))*(calTotal!$G$39^2)),((28.333*EXP(0.002*D5))*(calTotal!$G$39^2))),IF(calTotal!$G$39=1.14,((10.144*EXP(0.0051*D5))*(calTotal!$G$39^2)),((28.333*EXP(0.002*D5))*(calTotal!$G$39^2)))))</f>
        <v>0</v>
      </c>
      <c r="H5" s="99">
        <f>IF(Package="F324",SUM(calTotal!$D$30:$D$36)+calTotal!$M$19+F5+G5+calTotal!$N$28,IF(Package="F400",SUM(calTotal!$D$30:$D$35)+calTotal!$M$19+F5+G5+calTotal!$N$28,IF(OR(Package="W80",Package="F169"),SUM(calTotal!$D$103:$D$109)+F5+calTotal!$N$90,SUM(calTotal!$D$103:$D$108)+F5+calTotal!$N$90)))</f>
        <v>1684.1792596878006</v>
      </c>
    </row>
    <row r="6" spans="3:8" x14ac:dyDescent="0.35">
      <c r="C6" s="96">
        <v>4</v>
      </c>
      <c r="D6" s="92">
        <f>IF(OR(Package="F324",Package="F400"),calTotal!$E$16+(IF(calTotal!$E$18="None",calTotal!$E$21,calTotal!$E$20)*(H5*0.001)),calTotal!$E$89+(IF(calTotal!$E$91="None",calTotal!$E$94,calTotal!$E$93)*(H5*0.001)))</f>
        <v>111.32345004492807</v>
      </c>
      <c r="E6" s="92">
        <f>IF(OR(calTotal!$E$7="W80",calTotal!$E$7="Q100",calTotal!$E$7="Q144",calTotal!$E$7="F169",calTotal!$E$7="F256"),IF(calTotal!$E$9="Typical",IF(calTotal!$E$7="W80",(2.7909*EXP(0.0293*D6)/1.2),IF(OR(calTotal!$E$7="Q100",calTotal!$E$7="Q144"),(3.3892*EXP(0.0293*D6)/1.2),IF(calTotal!$E$7="F169",(2.7089*EXP(0.0293*D6)/1.2),IF(calTotal!$E$7="F256",(3.3892*EXP(0.0293*D6)/1.2),"Invalid")))),IF(calTotal!$E$9="Maximum",(7.2106*EXP(0.0293*D6)/1.2),"Invalid")),IF(OR(calTotal!$E$7="F324",calTotal!$E$7="F400"),IF(calTotal!$E$9="Typical",IF(calTotal!$E$7="F324",(19.1814*EXP(0.0181*D6)/1.2),IF(calTotal!$E$7="F400",(19.3955*EXP(0.0181*D6)/1.2),"Invalid")),IF(calTotal!$E$9="Maximum",(34.982*EXP(0.0181*D6)/1.2),"Invalid"))))</f>
        <v>73.703437128974571</v>
      </c>
      <c r="F6" s="98">
        <f>IF(OR(Package="F324",Package="F400"),E6*(calTotal!$G$31^2),E6*(calTotal!$G$104^2))</f>
        <v>106.13294946572337</v>
      </c>
      <c r="G6" s="98">
        <f>IF(calTotal!$G$39="-",0,IF(OR(calTotal!$E$11="Nominal",calTotal!$E$11="Maximum"),IF(AND(calTotal!$G$39&gt;=1.14,calTotal!$G$39&lt;=1.3),((10.144*EXP(0.0051*D6))*(calTotal!$G$39^2)),((28.333*EXP(0.002*D6))*(calTotal!$G$39^2))),IF(calTotal!$G$39=1.14,((10.144*EXP(0.0051*D6))*(calTotal!$G$39^2)),((28.333*EXP(0.002*D6))*(calTotal!$G$39^2)))))</f>
        <v>0</v>
      </c>
      <c r="H6" s="99">
        <f>IF(Package="F324",SUM(calTotal!$D$30:$D$36)+calTotal!$M$19+F6+G6+calTotal!$N$28,IF(Package="F400",SUM(calTotal!$D$30:$D$35)+calTotal!$M$19+F6+G6+calTotal!$N$28,IF(OR(Package="W80",Package="F169"),SUM(calTotal!$D$103:$D$109)+F6+calTotal!$N$90,SUM(calTotal!$D$103:$D$108)+F6+calTotal!$N$90)))</f>
        <v>1684.4852759510225</v>
      </c>
    </row>
    <row r="7" spans="3:8" x14ac:dyDescent="0.35">
      <c r="C7" s="96">
        <v>5</v>
      </c>
      <c r="D7" s="92">
        <f>IF(OR(Package="F324",Package="F400"),calTotal!$E$16+(IF(calTotal!$E$18="None",calTotal!$E$21,calTotal!$E$20)*(H6*0.001)),calTotal!$E$89+(IF(calTotal!$E$91="None",calTotal!$E$94,calTotal!$E$93)*(H6*0.001)))</f>
        <v>111.33913506150763</v>
      </c>
      <c r="E7" s="92">
        <f>IF(OR(calTotal!$E$7="W80",calTotal!$E$7="Q100",calTotal!$E$7="Q144",calTotal!$E$7="F169",calTotal!$E$7="F256"),IF(calTotal!$E$9="Typical",IF(calTotal!$E$7="W80",(2.7909*EXP(0.0293*D7)/1.2),IF(OR(calTotal!$E$7="Q100",calTotal!$E$7="Q144"),(3.3892*EXP(0.0293*D7)/1.2),IF(calTotal!$E$7="F169",(2.7089*EXP(0.0293*D7)/1.2),IF(calTotal!$E$7="F256",(3.3892*EXP(0.0293*D7)/1.2),"Invalid")))),IF(calTotal!$E$9="Maximum",(7.2106*EXP(0.0293*D7)/1.2),"Invalid")),IF(OR(calTotal!$E$7="F324",calTotal!$E$7="F400"),IF(calTotal!$E$9="Typical",IF(calTotal!$E$7="F324",(19.1814*EXP(0.0181*D7)/1.2),IF(calTotal!$E$7="F400",(19.3955*EXP(0.0181*D7)/1.2),"Invalid")),IF(calTotal!$E$9="Maximum",(34.982*EXP(0.0181*D7)/1.2),"Invalid"))))</f>
        <v>73.737316874709194</v>
      </c>
      <c r="F7" s="98">
        <f>IF(OR(Package="F324",Package="F400"),E7*(calTotal!$G$31^2),E7*(calTotal!$G$104^2))</f>
        <v>106.18173629958123</v>
      </c>
      <c r="G7" s="98">
        <f>IF(calTotal!$G$39="-",0,IF(OR(calTotal!$E$11="Nominal",calTotal!$E$11="Maximum"),IF(AND(calTotal!$G$39&gt;=1.14,calTotal!$G$39&lt;=1.3),((10.144*EXP(0.0051*D7))*(calTotal!$G$39^2)),((28.333*EXP(0.002*D7))*(calTotal!$G$39^2))),IF(calTotal!$G$39=1.14,((10.144*EXP(0.0051*D7))*(calTotal!$G$39^2)),((28.333*EXP(0.002*D7))*(calTotal!$G$39^2)))))</f>
        <v>0</v>
      </c>
      <c r="H7" s="99">
        <f>IF(Package="F324",SUM(calTotal!$D$30:$D$36)+calTotal!$M$19+F7+G7+calTotal!$N$28,IF(Package="F400",SUM(calTotal!$D$30:$D$35)+calTotal!$M$19+F7+G7+calTotal!$N$28,IF(OR(Package="W80",Package="F169"),SUM(calTotal!$D$103:$D$109)+F7+calTotal!$N$90,SUM(calTotal!$D$103:$D$108)+F7+calTotal!$N$90)))</f>
        <v>1684.5340627848802</v>
      </c>
    </row>
    <row r="8" spans="3:8" x14ac:dyDescent="0.35">
      <c r="C8" s="96">
        <v>6</v>
      </c>
      <c r="D8" s="92">
        <f>IF(OR(Package="F324",Package="F400"),calTotal!$E$16+(IF(calTotal!$E$18="None",calTotal!$E$21,calTotal!$E$20)*(H7*0.001)),calTotal!$E$89+(IF(calTotal!$E$91="None",calTotal!$E$94,calTotal!$E$93)*(H7*0.001)))</f>
        <v>111.34163565507042</v>
      </c>
      <c r="E8" s="92">
        <f>IF(OR(calTotal!$E$7="W80",calTotal!$E$7="Q100",calTotal!$E$7="Q144",calTotal!$E$7="F169",calTotal!$E$7="F256"),IF(calTotal!$E$9="Typical",IF(calTotal!$E$7="W80",(2.7909*EXP(0.0293*D8)/1.2),IF(OR(calTotal!$E$7="Q100",calTotal!$E$7="Q144"),(3.3892*EXP(0.0293*D8)/1.2),IF(calTotal!$E$7="F169",(2.7089*EXP(0.0293*D8)/1.2),IF(calTotal!$E$7="F256",(3.3892*EXP(0.0293*D8)/1.2),"Invalid")))),IF(calTotal!$E$9="Maximum",(7.2106*EXP(0.0293*D8)/1.2),"Invalid")),IF(OR(calTotal!$E$7="F324",calTotal!$E$7="F400"),IF(calTotal!$E$9="Typical",IF(calTotal!$E$7="F324",(19.1814*EXP(0.0181*D8)/1.2),IF(calTotal!$E$7="F400",(19.3955*EXP(0.0181*D8)/1.2),"Invalid")),IF(calTotal!$E$9="Maximum",(34.982*EXP(0.0181*D8)/1.2),"Invalid"))))</f>
        <v>73.742719613484539</v>
      </c>
      <c r="F8" s="98">
        <f>IF(OR(Package="F324",Package="F400"),E8*(calTotal!$G$31^2),E8*(calTotal!$G$104^2))</f>
        <v>106.18951624341773</v>
      </c>
      <c r="G8" s="98">
        <f>IF(calTotal!$G$39="-",0,IF(OR(calTotal!$E$11="Nominal",calTotal!$E$11="Maximum"),IF(AND(calTotal!$G$39&gt;=1.14,calTotal!$G$39&lt;=1.3),((10.144*EXP(0.0051*D8))*(calTotal!$G$39^2)),((28.333*EXP(0.002*D8))*(calTotal!$G$39^2))),IF(calTotal!$G$39=1.14,((10.144*EXP(0.0051*D8))*(calTotal!$G$39^2)),((28.333*EXP(0.002*D8))*(calTotal!$G$39^2)))))</f>
        <v>0</v>
      </c>
      <c r="H8" s="99">
        <f>IF(Package="F324",SUM(calTotal!$D$30:$D$36)+calTotal!$M$19+F8+G8+calTotal!$N$28,IF(Package="F400",SUM(calTotal!$D$30:$D$35)+calTotal!$M$19+F8+G8+calTotal!$N$28,IF(OR(Package="W80",Package="F169"),SUM(calTotal!$D$103:$D$109)+F8+calTotal!$N$90,SUM(calTotal!$D$103:$D$108)+F8+calTotal!$N$90)))</f>
        <v>1684.5418427287168</v>
      </c>
    </row>
    <row r="9" spans="3:8" x14ac:dyDescent="0.35">
      <c r="C9" s="96">
        <v>7</v>
      </c>
      <c r="D9" s="92">
        <f>IF(OR(Package="F324",Package="F400"),calTotal!$E$16+(IF(calTotal!$E$18="None",calTotal!$E$21,calTotal!$E$20)*(H8*0.001)),calTotal!$E$89+(IF(calTotal!$E$91="None",calTotal!$E$94,calTotal!$E$93)*(H8*0.001)))</f>
        <v>111.34203441998174</v>
      </c>
      <c r="E9" s="92">
        <f>IF(OR(calTotal!$E$7="W80",calTotal!$E$7="Q100",calTotal!$E$7="Q144",calTotal!$E$7="F169",calTotal!$E$7="F256"),IF(calTotal!$E$9="Typical",IF(calTotal!$E$7="W80",(2.7909*EXP(0.0293*D9)/1.2),IF(OR(calTotal!$E$7="Q100",calTotal!$E$7="Q144"),(3.3892*EXP(0.0293*D9)/1.2),IF(calTotal!$E$7="F169",(2.7089*EXP(0.0293*D9)/1.2),IF(calTotal!$E$7="F256",(3.3892*EXP(0.0293*D9)/1.2),"Invalid")))),IF(calTotal!$E$9="Maximum",(7.2106*EXP(0.0293*D9)/1.2),"Invalid")),IF(OR(calTotal!$E$7="F324",calTotal!$E$7="F400"),IF(calTotal!$E$9="Typical",IF(calTotal!$E$7="F324",(19.1814*EXP(0.0181*D9)/1.2),IF(calTotal!$E$7="F400",(19.3955*EXP(0.0181*D9)/1.2),"Invalid")),IF(calTotal!$E$9="Maximum",(34.982*EXP(0.0181*D9)/1.2),"Invalid"))))</f>
        <v>73.743581214583017</v>
      </c>
      <c r="F9" s="98">
        <f>IF(OR(Package="F324",Package="F400"),E9*(calTotal!$G$31^2),E9*(calTotal!$G$104^2))</f>
        <v>106.19075694899954</v>
      </c>
      <c r="G9" s="98">
        <f>IF(calTotal!$G$39="-",0,IF(OR(calTotal!$E$11="Nominal",calTotal!$E$11="Maximum"),IF(AND(calTotal!$G$39&gt;=1.14,calTotal!$G$39&lt;=1.3),((10.144*EXP(0.0051*D9))*(calTotal!$G$39^2)),((28.333*EXP(0.002*D9))*(calTotal!$G$39^2))),IF(calTotal!$G$39=1.14,((10.144*EXP(0.0051*D9))*(calTotal!$G$39^2)),((28.333*EXP(0.002*D9))*(calTotal!$G$39^2)))))</f>
        <v>0</v>
      </c>
      <c r="H9" s="99">
        <f>IF(Package="F324",SUM(calTotal!$D$30:$D$36)+calTotal!$M$19+F9+G9+calTotal!$N$28,IF(Package="F400",SUM(calTotal!$D$30:$D$35)+calTotal!$M$19+F9+G9+calTotal!$N$28,IF(OR(Package="W80",Package="F169"),SUM(calTotal!$D$103:$D$109)+F9+calTotal!$N$90,SUM(calTotal!$D$103:$D$108)+F9+calTotal!$N$90)))</f>
        <v>1684.5430834342985</v>
      </c>
    </row>
    <row r="10" spans="3:8" x14ac:dyDescent="0.35">
      <c r="C10" s="96">
        <v>8</v>
      </c>
      <c r="D10" s="92">
        <f>IF(OR(Package="F324",Package="F400"),calTotal!$E$16+(IF(calTotal!$E$18="None",calTotal!$E$21,calTotal!$E$20)*(H9*0.001)),calTotal!$E$89+(IF(calTotal!$E$91="None",calTotal!$E$94,calTotal!$E$93)*(H9*0.001)))</f>
        <v>111.34209801296669</v>
      </c>
      <c r="E10" s="92">
        <f>IF(OR(calTotal!$E$7="W80",calTotal!$E$7="Q100",calTotal!$E$7="Q144",calTotal!$E$7="F169",calTotal!$E$7="F256"),IF(calTotal!$E$9="Typical",IF(calTotal!$E$7="W80",(2.7909*EXP(0.0293*D10)/1.2),IF(OR(calTotal!$E$7="Q100",calTotal!$E$7="Q144"),(3.3892*EXP(0.0293*D10)/1.2),IF(calTotal!$E$7="F169",(2.7089*EXP(0.0293*D10)/1.2),IF(calTotal!$E$7="F256",(3.3892*EXP(0.0293*D10)/1.2),"Invalid")))),IF(calTotal!$E$9="Maximum",(7.2106*EXP(0.0293*D10)/1.2),"Invalid")),IF(OR(calTotal!$E$7="F324",calTotal!$E$7="F400"),IF(calTotal!$E$9="Typical",IF(calTotal!$E$7="F324",(19.1814*EXP(0.0181*D10)/1.2),IF(calTotal!$E$7="F400",(19.3955*EXP(0.0181*D10)/1.2),"Invalid")),IF(calTotal!$E$9="Maximum",(34.982*EXP(0.0181*D10)/1.2),"Invalid"))))</f>
        <v>73.743718619242401</v>
      </c>
      <c r="F10" s="98">
        <f>IF(OR(Package="F324",Package="F400"),E10*(calTotal!$G$31^2),E10*(calTotal!$G$104^2))</f>
        <v>106.19095481170905</v>
      </c>
      <c r="G10" s="98">
        <f>IF(calTotal!$G$39="-",0,IF(OR(calTotal!$E$11="Nominal",calTotal!$E$11="Maximum"),IF(AND(calTotal!$G$39&gt;=1.14,calTotal!$G$39&lt;=1.3),((10.144*EXP(0.0051*D10))*(calTotal!$G$39^2)),((28.333*EXP(0.002*D10))*(calTotal!$G$39^2))),IF(calTotal!$G$39=1.14,((10.144*EXP(0.0051*D10))*(calTotal!$G$39^2)),((28.333*EXP(0.002*D10))*(calTotal!$G$39^2)))))</f>
        <v>0</v>
      </c>
      <c r="H10" s="99">
        <f>IF(Package="F324",SUM(calTotal!$D$30:$D$36)+calTotal!$M$19+F10+G10+calTotal!$N$28,IF(Package="F400",SUM(calTotal!$D$30:$D$35)+calTotal!$M$19+F10+G10+calTotal!$N$28,IF(OR(Package="W80",Package="F169"),SUM(calTotal!$D$103:$D$109)+F10+calTotal!$N$90,SUM(calTotal!$D$103:$D$108)+F10+calTotal!$N$90)))</f>
        <v>1684.543281297008</v>
      </c>
    </row>
    <row r="11" spans="3:8" x14ac:dyDescent="0.35">
      <c r="C11" s="96">
        <v>9</v>
      </c>
      <c r="D11" s="92">
        <f>IF(OR(Package="F324",Package="F400"),calTotal!$E$16+(IF(calTotal!$E$18="None",calTotal!$E$21,calTotal!$E$20)*(H10*0.001)),calTotal!$E$89+(IF(calTotal!$E$91="None",calTotal!$E$94,calTotal!$E$93)*(H10*0.001)))</f>
        <v>111.3421081545188</v>
      </c>
      <c r="E11" s="92">
        <f>IF(OR(calTotal!$E$7="W80",calTotal!$E$7="Q100",calTotal!$E$7="Q144",calTotal!$E$7="F169",calTotal!$E$7="F256"),IF(calTotal!$E$9="Typical",IF(calTotal!$E$7="W80",(2.7909*EXP(0.0293*D11)/1.2),IF(OR(calTotal!$E$7="Q100",calTotal!$E$7="Q144"),(3.3892*EXP(0.0293*D11)/1.2),IF(calTotal!$E$7="F169",(2.7089*EXP(0.0293*D11)/1.2),IF(calTotal!$E$7="F256",(3.3892*EXP(0.0293*D11)/1.2),"Invalid")))),IF(calTotal!$E$9="Maximum",(7.2106*EXP(0.0293*D11)/1.2),"Invalid")),IF(OR(calTotal!$E$7="F324",calTotal!$E$7="F400"),IF(calTotal!$E$9="Typical",IF(calTotal!$E$7="F324",(19.1814*EXP(0.0181*D11)/1.2),IF(calTotal!$E$7="F400",(19.3955*EXP(0.0181*D11)/1.2),"Invalid")),IF(calTotal!$E$9="Maximum",(34.982*EXP(0.0181*D11)/1.2),"Invalid"))))</f>
        <v>73.743740532005589</v>
      </c>
      <c r="F11" s="98">
        <f>IF(OR(Package="F324",Package="F400"),E11*(calTotal!$G$31^2),E11*(calTotal!$G$104^2))</f>
        <v>106.19098636608804</v>
      </c>
      <c r="G11" s="98">
        <f>IF(calTotal!$G$39="-",0,IF(OR(calTotal!$E$11="Nominal",calTotal!$E$11="Maximum"),IF(AND(calTotal!$G$39&gt;=1.14,calTotal!$G$39&lt;=1.3),((10.144*EXP(0.0051*D11))*(calTotal!$G$39^2)),((28.333*EXP(0.002*D11))*(calTotal!$G$39^2))),IF(calTotal!$G$39=1.14,((10.144*EXP(0.0051*D11))*(calTotal!$G$39^2)),((28.333*EXP(0.002*D11))*(calTotal!$G$39^2)))))</f>
        <v>0</v>
      </c>
      <c r="H11" s="99">
        <f>IF(Package="F324",SUM(calTotal!$D$30:$D$36)+calTotal!$M$19+F11+G11+calTotal!$N$28,IF(Package="F400",SUM(calTotal!$D$30:$D$35)+calTotal!$M$19+F11+G11+calTotal!$N$28,IF(OR(Package="W80",Package="F169"),SUM(calTotal!$D$103:$D$109)+F11+calTotal!$N$90,SUM(calTotal!$D$103:$D$108)+F11+calTotal!$N$90)))</f>
        <v>1684.5433128513871</v>
      </c>
    </row>
    <row r="12" spans="3:8" x14ac:dyDescent="0.35">
      <c r="C12" s="96">
        <v>10</v>
      </c>
      <c r="D12" s="92">
        <f>IF(OR(Package="F324",Package="F400"),calTotal!$E$16+(IF(calTotal!$E$18="None",calTotal!$E$21,calTotal!$E$20)*(H11*0.001)),calTotal!$E$89+(IF(calTotal!$E$91="None",calTotal!$E$94,calTotal!$E$93)*(H11*0.001)))</f>
        <v>111.34210977185427</v>
      </c>
      <c r="E12" s="92">
        <f>IF(OR(calTotal!$E$7="W80",calTotal!$E$7="Q100",calTotal!$E$7="Q144",calTotal!$E$7="F169",calTotal!$E$7="F256"),IF(calTotal!$E$9="Typical",IF(calTotal!$E$7="W80",(2.7909*EXP(0.0293*D12)/1.2),IF(OR(calTotal!$E$7="Q100",calTotal!$E$7="Q144"),(3.3892*EXP(0.0293*D12)/1.2),IF(calTotal!$E$7="F169",(2.7089*EXP(0.0293*D12)/1.2),IF(calTotal!$E$7="F256",(3.3892*EXP(0.0293*D12)/1.2),"Invalid")))),IF(calTotal!$E$9="Maximum",(7.2106*EXP(0.0293*D12)/1.2),"Invalid")),IF(OR(calTotal!$E$7="F324",calTotal!$E$7="F400"),IF(calTotal!$E$9="Typical",IF(calTotal!$E$7="F324",(19.1814*EXP(0.0181*D12)/1.2),IF(calTotal!$E$7="F400",(19.3955*EXP(0.0181*D12)/1.2),"Invalid")),IF(calTotal!$E$9="Maximum",(34.982*EXP(0.0181*D12)/1.2),"Invalid"))))</f>
        <v>73.74374402656882</v>
      </c>
      <c r="F12" s="98">
        <f>IF(OR(Package="F324",Package="F400"),E12*(calTotal!$G$31^2),E12*(calTotal!$G$104^2))</f>
        <v>106.1909913982591</v>
      </c>
      <c r="G12" s="98">
        <f>IF(calTotal!$G$39="-",0,IF(OR(calTotal!$E$11="Nominal",calTotal!$E$11="Maximum"),IF(AND(calTotal!$G$39&gt;=1.14,calTotal!$G$39&lt;=1.3),((10.144*EXP(0.0051*D12))*(calTotal!$G$39^2)),((28.333*EXP(0.002*D12))*(calTotal!$G$39^2))),IF(calTotal!$G$39=1.14,((10.144*EXP(0.0051*D12))*(calTotal!$G$39^2)),((28.333*EXP(0.002*D12))*(calTotal!$G$39^2)))))</f>
        <v>0</v>
      </c>
      <c r="H12" s="99">
        <f>IF(Package="F324",SUM(calTotal!$D$30:$D$36)+calTotal!$M$19+F12+G12+calTotal!$N$28,IF(Package="F400",SUM(calTotal!$D$30:$D$35)+calTotal!$M$19+F12+G12+calTotal!$N$28,IF(OR(Package="W80",Package="F169"),SUM(calTotal!$D$103:$D$109)+F12+calTotal!$N$90,SUM(calTotal!$D$103:$D$108)+F12+calTotal!$N$90)))</f>
        <v>1684.5433178835581</v>
      </c>
    </row>
    <row r="13" spans="3:8" x14ac:dyDescent="0.35">
      <c r="C13" s="96">
        <v>11</v>
      </c>
      <c r="D13" s="92">
        <f>IF(OR(Package="F324",Package="F400"),calTotal!$E$16+(IF(calTotal!$E$18="None",calTotal!$E$21,calTotal!$E$20)*(H12*0.001)),calTotal!$E$89+(IF(calTotal!$E$91="None",calTotal!$E$94,calTotal!$E$93)*(H12*0.001)))</f>
        <v>111.3421100297807</v>
      </c>
      <c r="E13" s="92">
        <f>IF(OR(calTotal!$E$7="W80",calTotal!$E$7="Q100",calTotal!$E$7="Q144",calTotal!$E$7="F169",calTotal!$E$7="F256"),IF(calTotal!$E$9="Typical",IF(calTotal!$E$7="W80",(2.7909*EXP(0.0293*D13)/1.2),IF(OR(calTotal!$E$7="Q100",calTotal!$E$7="Q144"),(3.3892*EXP(0.0293*D13)/1.2),IF(calTotal!$E$7="F169",(2.7089*EXP(0.0293*D13)/1.2),IF(calTotal!$E$7="F256",(3.3892*EXP(0.0293*D13)/1.2),"Invalid")))),IF(calTotal!$E$9="Maximum",(7.2106*EXP(0.0293*D13)/1.2),"Invalid")),IF(OR(calTotal!$E$7="F324",calTotal!$E$7="F400"),IF(calTotal!$E$9="Typical",IF(calTotal!$E$7="F324",(19.1814*EXP(0.0181*D13)/1.2),IF(calTotal!$E$7="F400",(19.3955*EXP(0.0181*D13)/1.2),"Invalid")),IF(calTotal!$E$9="Maximum",(34.982*EXP(0.0181*D13)/1.2),"Invalid"))))</f>
        <v>73.74374458386832</v>
      </c>
      <c r="F13" s="98">
        <f>IF(OR(Package="F324",Package="F400"),E13*(calTotal!$G$31^2),E13*(calTotal!$G$104^2))</f>
        <v>106.19099220077038</v>
      </c>
      <c r="G13" s="98">
        <f>IF(calTotal!$G$39="-",0,IF(OR(calTotal!$E$11="Nominal",calTotal!$E$11="Maximum"),IF(AND(calTotal!$G$39&gt;=1.14,calTotal!$G$39&lt;=1.3),((10.144*EXP(0.0051*D13))*(calTotal!$G$39^2)),((28.333*EXP(0.002*D13))*(calTotal!$G$39^2))),IF(calTotal!$G$39=1.14,((10.144*EXP(0.0051*D13))*(calTotal!$G$39^2)),((28.333*EXP(0.002*D13))*(calTotal!$G$39^2)))))</f>
        <v>0</v>
      </c>
      <c r="H13" s="99">
        <f>IF(Package="F324",SUM(calTotal!$D$30:$D$36)+calTotal!$M$19+F13+G13+calTotal!$N$28,IF(Package="F400",SUM(calTotal!$D$30:$D$35)+calTotal!$M$19+F13+G13+calTotal!$N$28,IF(OR(Package="W80",Package="F169"),SUM(calTotal!$D$103:$D$109)+F13+calTotal!$N$90,SUM(calTotal!$D$103:$D$108)+F13+calTotal!$N$90)))</f>
        <v>1684.5433186860694</v>
      </c>
    </row>
    <row r="14" spans="3:8" x14ac:dyDescent="0.35">
      <c r="C14" s="96">
        <v>12</v>
      </c>
      <c r="D14" s="92">
        <f>IF(OR(Package="F324",Package="F400"),calTotal!$E$16+(IF(calTotal!$E$18="None",calTotal!$E$21,calTotal!$E$20)*(H13*0.001)),calTotal!$E$89+(IF(calTotal!$E$91="None",calTotal!$E$94,calTotal!$E$93)*(H13*0.001)))</f>
        <v>111.34211007091383</v>
      </c>
      <c r="E14" s="92">
        <f>IF(OR(calTotal!$E$7="W80",calTotal!$E$7="Q100",calTotal!$E$7="Q144",calTotal!$E$7="F169",calTotal!$E$7="F256"),IF(calTotal!$E$9="Typical",IF(calTotal!$E$7="W80",(2.7909*EXP(0.0293*D14)/1.2),IF(OR(calTotal!$E$7="Q100",calTotal!$E$7="Q144"),(3.3892*EXP(0.0293*D14)/1.2),IF(calTotal!$E$7="F169",(2.7089*EXP(0.0293*D14)/1.2),IF(calTotal!$E$7="F256",(3.3892*EXP(0.0293*D14)/1.2),"Invalid")))),IF(calTotal!$E$9="Maximum",(7.2106*EXP(0.0293*D14)/1.2),"Invalid")),IF(OR(calTotal!$E$7="F324",calTotal!$E$7="F400"),IF(calTotal!$E$9="Typical",IF(calTotal!$E$7="F324",(19.1814*EXP(0.0181*D14)/1.2),IF(calTotal!$E$7="F400",(19.3955*EXP(0.0181*D14)/1.2),"Invalid")),IF(calTotal!$E$9="Maximum",(34.982*EXP(0.0181*D14)/1.2),"Invalid"))))</f>
        <v>73.743744672744342</v>
      </c>
      <c r="F14" s="98">
        <f>IF(OR(Package="F324",Package="F400"),E14*(calTotal!$G$31^2),E14*(calTotal!$G$104^2))</f>
        <v>106.19099232875185</v>
      </c>
      <c r="G14" s="98">
        <f>IF(calTotal!$G$39="-",0,IF(OR(calTotal!$E$11="Nominal",calTotal!$E$11="Maximum"),IF(AND(calTotal!$G$39&gt;=1.14,calTotal!$G$39&lt;=1.3),((10.144*EXP(0.0051*D14))*(calTotal!$G$39^2)),((28.333*EXP(0.002*D14))*(calTotal!$G$39^2))),IF(calTotal!$G$39=1.14,((10.144*EXP(0.0051*D14))*(calTotal!$G$39^2)),((28.333*EXP(0.002*D14))*(calTotal!$G$39^2)))))</f>
        <v>0</v>
      </c>
      <c r="H14" s="99">
        <f>IF(Package="F324",SUM(calTotal!$D$30:$D$36)+calTotal!$M$19+F14+G14+calTotal!$N$28,IF(Package="F400",SUM(calTotal!$D$30:$D$35)+calTotal!$M$19+F14+G14+calTotal!$N$28,IF(OR(Package="W80",Package="F169"),SUM(calTotal!$D$103:$D$109)+F14+calTotal!$N$90,SUM(calTotal!$D$103:$D$108)+F14+calTotal!$N$90)))</f>
        <v>1684.543318814051</v>
      </c>
    </row>
    <row r="15" spans="3:8" x14ac:dyDescent="0.35">
      <c r="C15" s="96">
        <v>13</v>
      </c>
      <c r="D15" s="92">
        <f>IF(OR(Package="F324",Package="F400"),calTotal!$E$16+(IF(calTotal!$E$18="None",calTotal!$E$21,calTotal!$E$20)*(H14*0.001)),calTotal!$E$89+(IF(calTotal!$E$91="None",calTotal!$E$94,calTotal!$E$93)*(H14*0.001)))</f>
        <v>111.34211007747359</v>
      </c>
      <c r="E15" s="92">
        <f>IF(OR(calTotal!$E$7="W80",calTotal!$E$7="Q100",calTotal!$E$7="Q144",calTotal!$E$7="F169",calTotal!$E$7="F256"),IF(calTotal!$E$9="Typical",IF(calTotal!$E$7="W80",(2.7909*EXP(0.0293*D15)/1.2),IF(OR(calTotal!$E$7="Q100",calTotal!$E$7="Q144"),(3.3892*EXP(0.0293*D15)/1.2),IF(calTotal!$E$7="F169",(2.7089*EXP(0.0293*D15)/1.2),IF(calTotal!$E$7="F256",(3.3892*EXP(0.0293*D15)/1.2),"Invalid")))),IF(calTotal!$E$9="Maximum",(7.2106*EXP(0.0293*D15)/1.2),"Invalid")),IF(OR(calTotal!$E$7="F324",calTotal!$E$7="F400"),IF(calTotal!$E$9="Typical",IF(calTotal!$E$7="F324",(19.1814*EXP(0.0181*D15)/1.2),IF(calTotal!$E$7="F400",(19.3955*EXP(0.0181*D15)/1.2),"Invalid")),IF(calTotal!$E$9="Maximum",(34.982*EXP(0.0181*D15)/1.2),"Invalid"))))</f>
        <v>73.743744686917964</v>
      </c>
      <c r="F15" s="98">
        <f>IF(OR(Package="F324",Package="F400"),E15*(calTotal!$G$31^2),E15*(calTotal!$G$104^2))</f>
        <v>106.19099234916186</v>
      </c>
      <c r="G15" s="98">
        <f>IF(calTotal!$G$39="-",0,IF(OR(calTotal!$E$11="Nominal",calTotal!$E$11="Maximum"),IF(AND(calTotal!$G$39&gt;=1.14,calTotal!$G$39&lt;=1.3),((10.144*EXP(0.0051*D15))*(calTotal!$G$39^2)),((28.333*EXP(0.002*D15))*(calTotal!$G$39^2))),IF(calTotal!$G$39=1.14,((10.144*EXP(0.0051*D15))*(calTotal!$G$39^2)),((28.333*EXP(0.002*D15))*(calTotal!$G$39^2)))))</f>
        <v>0</v>
      </c>
      <c r="H15" s="99">
        <f>IF(Package="F324",SUM(calTotal!$D$30:$D$36)+calTotal!$M$19+F15+G15+calTotal!$N$28,IF(Package="F400",SUM(calTotal!$D$30:$D$35)+calTotal!$M$19+F15+G15+calTotal!$N$28,IF(OR(Package="W80",Package="F169"),SUM(calTotal!$D$103:$D$109)+F15+calTotal!$N$90,SUM(calTotal!$D$103:$D$108)+F15+calTotal!$N$90)))</f>
        <v>1684.5433188344609</v>
      </c>
    </row>
    <row r="16" spans="3:8" x14ac:dyDescent="0.35">
      <c r="C16" s="96">
        <v>14</v>
      </c>
      <c r="D16" s="92">
        <f>IF(OR(Package="F324",Package="F400"),calTotal!$E$16+(IF(calTotal!$E$18="None",calTotal!$E$21,calTotal!$E$20)*(H15*0.001)),calTotal!$E$89+(IF(calTotal!$E$91="None",calTotal!$E$94,calTotal!$E$93)*(H15*0.001)))</f>
        <v>111.34211007851971</v>
      </c>
      <c r="E16" s="92">
        <f>IF(OR(calTotal!$E$7="W80",calTotal!$E$7="Q100",calTotal!$E$7="Q144",calTotal!$E$7="F169",calTotal!$E$7="F256"),IF(calTotal!$E$9="Typical",IF(calTotal!$E$7="W80",(2.7909*EXP(0.0293*D16)/1.2),IF(OR(calTotal!$E$7="Q100",calTotal!$E$7="Q144"),(3.3892*EXP(0.0293*D16)/1.2),IF(calTotal!$E$7="F169",(2.7089*EXP(0.0293*D16)/1.2),IF(calTotal!$E$7="F256",(3.3892*EXP(0.0293*D16)/1.2),"Invalid")))),IF(calTotal!$E$9="Maximum",(7.2106*EXP(0.0293*D16)/1.2),"Invalid")),IF(OR(calTotal!$E$7="F324",calTotal!$E$7="F400"),IF(calTotal!$E$9="Typical",IF(calTotal!$E$7="F324",(19.1814*EXP(0.0181*D16)/1.2),IF(calTotal!$E$7="F400",(19.3955*EXP(0.0181*D16)/1.2),"Invalid")),IF(calTotal!$E$9="Maximum",(34.982*EXP(0.0181*D16)/1.2),"Invalid"))))</f>
        <v>73.743744689178286</v>
      </c>
      <c r="F16" s="98">
        <f>IF(OR(Package="F324",Package="F400"),E16*(calTotal!$G$31^2),E16*(calTotal!$G$104^2))</f>
        <v>106.19099235241673</v>
      </c>
      <c r="G16" s="98">
        <f>IF(calTotal!$G$39="-",0,IF(OR(calTotal!$E$11="Nominal",calTotal!$E$11="Maximum"),IF(AND(calTotal!$G$39&gt;=1.14,calTotal!$G$39&lt;=1.3),((10.144*EXP(0.0051*D16))*(calTotal!$G$39^2)),((28.333*EXP(0.002*D16))*(calTotal!$G$39^2))),IF(calTotal!$G$39=1.14,((10.144*EXP(0.0051*D16))*(calTotal!$G$39^2)),((28.333*EXP(0.002*D16))*(calTotal!$G$39^2)))))</f>
        <v>0</v>
      </c>
      <c r="H16" s="99">
        <f>IF(Package="F324",SUM(calTotal!$D$30:$D$36)+calTotal!$M$19+F16+G16+calTotal!$N$28,IF(Package="F400",SUM(calTotal!$D$30:$D$35)+calTotal!$M$19+F16+G16+calTotal!$N$28,IF(OR(Package="W80",Package="F169"),SUM(calTotal!$D$103:$D$109)+F16+calTotal!$N$90,SUM(calTotal!$D$103:$D$108)+F16+calTotal!$N$90)))</f>
        <v>1684.5433188377158</v>
      </c>
    </row>
    <row r="17" spans="3:8" x14ac:dyDescent="0.35">
      <c r="C17" s="96">
        <v>15</v>
      </c>
      <c r="D17" s="92">
        <f>IF(OR(Package="F324",Package="F400"),calTotal!$E$16+(IF(calTotal!$E$18="None",calTotal!$E$21,calTotal!$E$20)*(H16*0.001)),calTotal!$E$89+(IF(calTotal!$E$91="None",calTotal!$E$94,calTotal!$E$93)*(H16*0.001)))</f>
        <v>111.34211007868655</v>
      </c>
      <c r="E17" s="92">
        <f>IF(OR(calTotal!$E$7="W80",calTotal!$E$7="Q100",calTotal!$E$7="Q144",calTotal!$E$7="F169",calTotal!$E$7="F256"),IF(calTotal!$E$9="Typical",IF(calTotal!$E$7="W80",(2.7909*EXP(0.0293*D17)/1.2),IF(OR(calTotal!$E$7="Q100",calTotal!$E$7="Q144"),(3.3892*EXP(0.0293*D17)/1.2),IF(calTotal!$E$7="F169",(2.7089*EXP(0.0293*D17)/1.2),IF(calTotal!$E$7="F256",(3.3892*EXP(0.0293*D17)/1.2),"Invalid")))),IF(calTotal!$E$9="Maximum",(7.2106*EXP(0.0293*D17)/1.2),"Invalid")),IF(OR(calTotal!$E$7="F324",calTotal!$E$7="F400"),IF(calTotal!$E$9="Typical",IF(calTotal!$E$7="F324",(19.1814*EXP(0.0181*D17)/1.2),IF(calTotal!$E$7="F400",(19.3955*EXP(0.0181*D17)/1.2),"Invalid")),IF(calTotal!$E$9="Maximum",(34.982*EXP(0.0181*D17)/1.2),"Invalid"))))</f>
        <v>73.743744689538786</v>
      </c>
      <c r="F17" s="98">
        <f>IF(OR(Package="F324",Package="F400"),E17*(calTotal!$G$31^2),E17*(calTotal!$G$104^2))</f>
        <v>106.19099235293585</v>
      </c>
      <c r="G17" s="98">
        <f>IF(calTotal!$G$39="-",0,IF(OR(calTotal!$E$11="Nominal",calTotal!$E$11="Maximum"),IF(AND(calTotal!$G$39&gt;=1.14,calTotal!$G$39&lt;=1.3),((10.144*EXP(0.0051*D17))*(calTotal!$G$39^2)),((28.333*EXP(0.002*D17))*(calTotal!$G$39^2))),IF(calTotal!$G$39=1.14,((10.144*EXP(0.0051*D17))*(calTotal!$G$39^2)),((28.333*EXP(0.002*D17))*(calTotal!$G$39^2)))))</f>
        <v>0</v>
      </c>
      <c r="H17" s="99">
        <f>IF(Package="F324",SUM(calTotal!$D$30:$D$36)+calTotal!$M$19+F17+G17+calTotal!$N$28,IF(Package="F400",SUM(calTotal!$D$30:$D$35)+calTotal!$M$19+F17+G17+calTotal!$N$28,IF(OR(Package="W80",Package="F169"),SUM(calTotal!$D$103:$D$109)+F17+calTotal!$N$90,SUM(calTotal!$D$103:$D$108)+F17+calTotal!$N$90)))</f>
        <v>1684.5433188382349</v>
      </c>
    </row>
    <row r="18" spans="3:8" x14ac:dyDescent="0.35">
      <c r="C18" s="96">
        <v>16</v>
      </c>
      <c r="D18" s="92">
        <f>IF(OR(Package="F324",Package="F400"),calTotal!$E$16+(IF(calTotal!$E$18="None",calTotal!$E$21,calTotal!$E$20)*(H17*0.001)),calTotal!$E$89+(IF(calTotal!$E$91="None",calTotal!$E$94,calTotal!$E$93)*(H17*0.001)))</f>
        <v>111.34211007871315</v>
      </c>
      <c r="E18" s="92">
        <f>IF(OR(calTotal!$E$7="W80",calTotal!$E$7="Q100",calTotal!$E$7="Q144",calTotal!$E$7="F169",calTotal!$E$7="F256"),IF(calTotal!$E$9="Typical",IF(calTotal!$E$7="W80",(2.7909*EXP(0.0293*D18)/1.2),IF(OR(calTotal!$E$7="Q100",calTotal!$E$7="Q144"),(3.3892*EXP(0.0293*D18)/1.2),IF(calTotal!$E$7="F169",(2.7089*EXP(0.0293*D18)/1.2),IF(calTotal!$E$7="F256",(3.3892*EXP(0.0293*D18)/1.2),"Invalid")))),IF(calTotal!$E$9="Maximum",(7.2106*EXP(0.0293*D18)/1.2),"Invalid")),IF(OR(calTotal!$E$7="F324",calTotal!$E$7="F400"),IF(calTotal!$E$9="Typical",IF(calTotal!$E$7="F324",(19.1814*EXP(0.0181*D18)/1.2),IF(calTotal!$E$7="F400",(19.3955*EXP(0.0181*D18)/1.2),"Invalid")),IF(calTotal!$E$9="Maximum",(34.982*EXP(0.0181*D18)/1.2),"Invalid"))))</f>
        <v>73.743744689596269</v>
      </c>
      <c r="F18" s="98">
        <f>IF(OR(Package="F324",Package="F400"),E18*(calTotal!$G$31^2),E18*(calTotal!$G$104^2))</f>
        <v>106.19099235301863</v>
      </c>
      <c r="G18" s="98">
        <f>IF(calTotal!$G$39="-",0,IF(OR(calTotal!$E$11="Nominal",calTotal!$E$11="Maximum"),IF(AND(calTotal!$G$39&gt;=1.14,calTotal!$G$39&lt;=1.3),((10.144*EXP(0.0051*D18))*(calTotal!$G$39^2)),((28.333*EXP(0.002*D18))*(calTotal!$G$39^2))),IF(calTotal!$G$39=1.14,((10.144*EXP(0.0051*D18))*(calTotal!$G$39^2)),((28.333*EXP(0.002*D18))*(calTotal!$G$39^2)))))</f>
        <v>0</v>
      </c>
      <c r="H18" s="99">
        <f>IF(Package="F324",SUM(calTotal!$D$30:$D$36)+calTotal!$M$19+F18+G18+calTotal!$N$28,IF(Package="F400",SUM(calTotal!$D$30:$D$35)+calTotal!$M$19+F18+G18+calTotal!$N$28,IF(OR(Package="W80",Package="F169"),SUM(calTotal!$D$103:$D$109)+F18+calTotal!$N$90,SUM(calTotal!$D$103:$D$108)+F18+calTotal!$N$90)))</f>
        <v>1684.5433188383176</v>
      </c>
    </row>
    <row r="19" spans="3:8" x14ac:dyDescent="0.35">
      <c r="C19" s="96">
        <v>17</v>
      </c>
      <c r="D19" s="92">
        <f>IF(OR(Package="F324",Package="F400"),calTotal!$E$16+(IF(calTotal!$E$18="None",calTotal!$E$21,calTotal!$E$20)*(H18*0.001)),calTotal!$E$89+(IF(calTotal!$E$91="None",calTotal!$E$94,calTotal!$E$93)*(H18*0.001)))</f>
        <v>111.34211007871738</v>
      </c>
      <c r="E19" s="92">
        <f>IF(OR(calTotal!$E$7="W80",calTotal!$E$7="Q100",calTotal!$E$7="Q144",calTotal!$E$7="F169",calTotal!$E$7="F256"),IF(calTotal!$E$9="Typical",IF(calTotal!$E$7="W80",(2.7909*EXP(0.0293*D19)/1.2),IF(OR(calTotal!$E$7="Q100",calTotal!$E$7="Q144"),(3.3892*EXP(0.0293*D19)/1.2),IF(calTotal!$E$7="F169",(2.7089*EXP(0.0293*D19)/1.2),IF(calTotal!$E$7="F256",(3.3892*EXP(0.0293*D19)/1.2),"Invalid")))),IF(calTotal!$E$9="Maximum",(7.2106*EXP(0.0293*D19)/1.2),"Invalid")),IF(OR(calTotal!$E$7="F324",calTotal!$E$7="F400"),IF(calTotal!$E$9="Typical",IF(calTotal!$E$7="F324",(19.1814*EXP(0.0181*D19)/1.2),IF(calTotal!$E$7="F400",(19.3955*EXP(0.0181*D19)/1.2),"Invalid")),IF(calTotal!$E$9="Maximum",(34.982*EXP(0.0181*D19)/1.2),"Invalid"))))</f>
        <v>73.743744689605407</v>
      </c>
      <c r="F19" s="98">
        <f>IF(OR(Package="F324",Package="F400"),E19*(calTotal!$G$31^2),E19*(calTotal!$G$104^2))</f>
        <v>106.19099235303179</v>
      </c>
      <c r="G19" s="98">
        <f>IF(calTotal!$G$39="-",0,IF(OR(calTotal!$E$11="Nominal",calTotal!$E$11="Maximum"),IF(AND(calTotal!$G$39&gt;=1.14,calTotal!$G$39&lt;=1.3),((10.144*EXP(0.0051*D19))*(calTotal!$G$39^2)),((28.333*EXP(0.002*D19))*(calTotal!$G$39^2))),IF(calTotal!$G$39=1.14,((10.144*EXP(0.0051*D19))*(calTotal!$G$39^2)),((28.333*EXP(0.002*D19))*(calTotal!$G$39^2)))))</f>
        <v>0</v>
      </c>
      <c r="H19" s="99">
        <f>IF(Package="F324",SUM(calTotal!$D$30:$D$36)+calTotal!$M$19+F19+G19+calTotal!$N$28,IF(Package="F400",SUM(calTotal!$D$30:$D$35)+calTotal!$M$19+F19+G19+calTotal!$N$28,IF(OR(Package="W80",Package="F169"),SUM(calTotal!$D$103:$D$109)+F19+calTotal!$N$90,SUM(calTotal!$D$103:$D$108)+F19+calTotal!$N$90)))</f>
        <v>1684.5433188383308</v>
      </c>
    </row>
    <row r="20" spans="3:8" x14ac:dyDescent="0.35">
      <c r="C20" s="96">
        <v>18</v>
      </c>
      <c r="D20" s="92">
        <f>IF(OR(Package="F324",Package="F400"),calTotal!$E$16+(IF(calTotal!$E$18="None",calTotal!$E$21,calTotal!$E$20)*(H19*0.001)),calTotal!$E$89+(IF(calTotal!$E$91="None",calTotal!$E$94,calTotal!$E$93)*(H19*0.001)))</f>
        <v>111.34211007871806</v>
      </c>
      <c r="E20" s="92">
        <f>IF(OR(calTotal!$E$7="W80",calTotal!$E$7="Q100",calTotal!$E$7="Q144",calTotal!$E$7="F169",calTotal!$E$7="F256"),IF(calTotal!$E$9="Typical",IF(calTotal!$E$7="W80",(2.7909*EXP(0.0293*D20)/1.2),IF(OR(calTotal!$E$7="Q100",calTotal!$E$7="Q144"),(3.3892*EXP(0.0293*D20)/1.2),IF(calTotal!$E$7="F169",(2.7089*EXP(0.0293*D20)/1.2),IF(calTotal!$E$7="F256",(3.3892*EXP(0.0293*D20)/1.2),"Invalid")))),IF(calTotal!$E$9="Maximum",(7.2106*EXP(0.0293*D20)/1.2),"Invalid")),IF(OR(calTotal!$E$7="F324",calTotal!$E$7="F400"),IF(calTotal!$E$9="Typical",IF(calTotal!$E$7="F324",(19.1814*EXP(0.0181*D20)/1.2),IF(calTotal!$E$7="F400",(19.3955*EXP(0.0181*D20)/1.2),"Invalid")),IF(calTotal!$E$9="Maximum",(34.982*EXP(0.0181*D20)/1.2),"Invalid"))))</f>
        <v>73.743744689606871</v>
      </c>
      <c r="F20" s="98">
        <f>IF(OR(Package="F324",Package="F400"),E20*(calTotal!$G$31^2),E20*(calTotal!$G$104^2))</f>
        <v>106.19099235303389</v>
      </c>
      <c r="G20" s="98">
        <f>IF(calTotal!$G$39="-",0,IF(OR(calTotal!$E$11="Nominal",calTotal!$E$11="Maximum"),IF(AND(calTotal!$G$39&gt;=1.14,calTotal!$G$39&lt;=1.3),((10.144*EXP(0.0051*D20))*(calTotal!$G$39^2)),((28.333*EXP(0.002*D20))*(calTotal!$G$39^2))),IF(calTotal!$G$39=1.14,((10.144*EXP(0.0051*D20))*(calTotal!$G$39^2)),((28.333*EXP(0.002*D20))*(calTotal!$G$39^2)))))</f>
        <v>0</v>
      </c>
      <c r="H20" s="99">
        <f>IF(Package="F324",SUM(calTotal!$D$30:$D$36)+calTotal!$M$19+F20+G20+calTotal!$N$28,IF(Package="F400",SUM(calTotal!$D$30:$D$35)+calTotal!$M$19+F20+G20+calTotal!$N$28,IF(OR(Package="W80",Package="F169"),SUM(calTotal!$D$103:$D$109)+F20+calTotal!$N$90,SUM(calTotal!$D$103:$D$108)+F20+calTotal!$N$90)))</f>
        <v>1684.5433188383329</v>
      </c>
    </row>
    <row r="21" spans="3:8" x14ac:dyDescent="0.35">
      <c r="C21" s="96">
        <v>19</v>
      </c>
      <c r="D21" s="92">
        <f>IF(OR(Package="F324",Package="F400"),calTotal!$E$16+(IF(calTotal!$E$18="None",calTotal!$E$21,calTotal!$E$20)*(H20*0.001)),calTotal!$E$89+(IF(calTotal!$E$91="None",calTotal!$E$94,calTotal!$E$93)*(H20*0.001)))</f>
        <v>111.34211007871818</v>
      </c>
      <c r="E21" s="92">
        <f>IF(OR(calTotal!$E$7="W80",calTotal!$E$7="Q100",calTotal!$E$7="Q144",calTotal!$E$7="F169",calTotal!$E$7="F256"),IF(calTotal!$E$9="Typical",IF(calTotal!$E$7="W80",(2.7909*EXP(0.0293*D21)/1.2),IF(OR(calTotal!$E$7="Q100",calTotal!$E$7="Q144"),(3.3892*EXP(0.0293*D21)/1.2),IF(calTotal!$E$7="F169",(2.7089*EXP(0.0293*D21)/1.2),IF(calTotal!$E$7="F256",(3.3892*EXP(0.0293*D21)/1.2),"Invalid")))),IF(calTotal!$E$9="Maximum",(7.2106*EXP(0.0293*D21)/1.2),"Invalid")),IF(OR(calTotal!$E$7="F324",calTotal!$E$7="F400"),IF(calTotal!$E$9="Typical",IF(calTotal!$E$7="F324",(19.1814*EXP(0.0181*D21)/1.2),IF(calTotal!$E$7="F400",(19.3955*EXP(0.0181*D21)/1.2),"Invalid")),IF(calTotal!$E$9="Maximum",(34.982*EXP(0.0181*D21)/1.2),"Invalid"))))</f>
        <v>73.743744689607141</v>
      </c>
      <c r="F21" s="98">
        <f>IF(OR(Package="F324",Package="F400"),E21*(calTotal!$G$31^2),E21*(calTotal!$G$104^2))</f>
        <v>106.19099235303428</v>
      </c>
      <c r="G21" s="98">
        <f>IF(calTotal!$G$39="-",0,IF(OR(calTotal!$E$11="Nominal",calTotal!$E$11="Maximum"),IF(AND(calTotal!$G$39&gt;=1.14,calTotal!$G$39&lt;=1.3),((10.144*EXP(0.0051*D21))*(calTotal!$G$39^2)),((28.333*EXP(0.002*D21))*(calTotal!$G$39^2))),IF(calTotal!$G$39=1.14,((10.144*EXP(0.0051*D21))*(calTotal!$G$39^2)),((28.333*EXP(0.002*D21))*(calTotal!$G$39^2)))))</f>
        <v>0</v>
      </c>
      <c r="H21" s="99">
        <f>IF(Package="F324",SUM(calTotal!$D$30:$D$36)+calTotal!$M$19+F21+G21+calTotal!$N$28,IF(Package="F400",SUM(calTotal!$D$30:$D$35)+calTotal!$M$19+F21+G21+calTotal!$N$28,IF(OR(Package="W80",Package="F169"),SUM(calTotal!$D$103:$D$109)+F21+calTotal!$N$90,SUM(calTotal!$D$103:$D$108)+F21+calTotal!$N$90)))</f>
        <v>1684.5433188383333</v>
      </c>
    </row>
    <row r="22" spans="3:8" x14ac:dyDescent="0.35">
      <c r="C22" s="96">
        <v>20</v>
      </c>
      <c r="D22" s="92">
        <f>IF(OR(Package="F324",Package="F400"),calTotal!$E$16+(IF(calTotal!$E$18="None",calTotal!$E$21,calTotal!$E$20)*(H21*0.001)),calTotal!$E$89+(IF(calTotal!$E$91="None",calTotal!$E$94,calTotal!$E$93)*(H21*0.001)))</f>
        <v>111.34211007871819</v>
      </c>
      <c r="E22" s="92">
        <f>IF(OR(calTotal!$E$7="W80",calTotal!$E$7="Q100",calTotal!$E$7="Q144",calTotal!$E$7="F169",calTotal!$E$7="F256"),IF(calTotal!$E$9="Typical",IF(calTotal!$E$7="W80",(2.7909*EXP(0.0293*D22)/1.2),IF(OR(calTotal!$E$7="Q100",calTotal!$E$7="Q144"),(3.3892*EXP(0.0293*D22)/1.2),IF(calTotal!$E$7="F169",(2.7089*EXP(0.0293*D22)/1.2),IF(calTotal!$E$7="F256",(3.3892*EXP(0.0293*D22)/1.2),"Invalid")))),IF(calTotal!$E$9="Maximum",(7.2106*EXP(0.0293*D22)/1.2),"Invalid")),IF(OR(calTotal!$E$7="F324",calTotal!$E$7="F400"),IF(calTotal!$E$9="Typical",IF(calTotal!$E$7="F324",(19.1814*EXP(0.0181*D22)/1.2),IF(calTotal!$E$7="F400",(19.3955*EXP(0.0181*D22)/1.2),"Invalid")),IF(calTotal!$E$9="Maximum",(34.982*EXP(0.0181*D22)/1.2),"Invalid"))))</f>
        <v>73.743744689607169</v>
      </c>
      <c r="F22" s="98">
        <f>IF(OR(Package="F324",Package="F400"),E22*(calTotal!$G$31^2),E22*(calTotal!$G$104^2))</f>
        <v>106.19099235303432</v>
      </c>
      <c r="G22" s="98">
        <f>IF(calTotal!$G$39="-",0,IF(OR(calTotal!$E$11="Nominal",calTotal!$E$11="Maximum"),IF(AND(calTotal!$G$39&gt;=1.14,calTotal!$G$39&lt;=1.3),((10.144*EXP(0.0051*D22))*(calTotal!$G$39^2)),((28.333*EXP(0.002*D22))*(calTotal!$G$39^2))),IF(calTotal!$G$39=1.14,((10.144*EXP(0.0051*D22))*(calTotal!$G$39^2)),((28.333*EXP(0.002*D22))*(calTotal!$G$39^2)))))</f>
        <v>0</v>
      </c>
      <c r="H22" s="99">
        <f>IF(Package="F324",SUM(calTotal!$D$30:$D$36)+calTotal!$M$19+F22+G22+calTotal!$N$28,IF(Package="F400",SUM(calTotal!$D$30:$D$35)+calTotal!$M$19+F22+G22+calTotal!$N$28,IF(OR(Package="W80",Package="F169"),SUM(calTotal!$D$103:$D$109)+F22+calTotal!$N$90,SUM(calTotal!$D$103:$D$108)+F22+calTotal!$N$90)))</f>
        <v>1684.5433188383333</v>
      </c>
    </row>
    <row r="23" spans="3:8" x14ac:dyDescent="0.35">
      <c r="C23" s="96">
        <v>21</v>
      </c>
      <c r="D23" s="92">
        <f>IF(OR(Package="F324",Package="F400"),calTotal!$E$16+(IF(calTotal!$E$18="None",calTotal!$E$21,calTotal!$E$20)*(H22*0.001)),calTotal!$E$89+(IF(calTotal!$E$91="None",calTotal!$E$94,calTotal!$E$93)*(H22*0.001)))</f>
        <v>111.34211007871819</v>
      </c>
      <c r="E23" s="92">
        <f>IF(OR(calTotal!$E$7="W80",calTotal!$E$7="Q100",calTotal!$E$7="Q144",calTotal!$E$7="F169",calTotal!$E$7="F256"),IF(calTotal!$E$9="Typical",IF(calTotal!$E$7="W80",(2.7909*EXP(0.0293*D23)/1.2),IF(OR(calTotal!$E$7="Q100",calTotal!$E$7="Q144"),(3.3892*EXP(0.0293*D23)/1.2),IF(calTotal!$E$7="F169",(2.7089*EXP(0.0293*D23)/1.2),IF(calTotal!$E$7="F256",(3.3892*EXP(0.0293*D23)/1.2),"Invalid")))),IF(calTotal!$E$9="Maximum",(7.2106*EXP(0.0293*D23)/1.2),"Invalid")),IF(OR(calTotal!$E$7="F324",calTotal!$E$7="F400"),IF(calTotal!$E$9="Typical",IF(calTotal!$E$7="F324",(19.1814*EXP(0.0181*D23)/1.2),IF(calTotal!$E$7="F400",(19.3955*EXP(0.0181*D23)/1.2),"Invalid")),IF(calTotal!$E$9="Maximum",(34.982*EXP(0.0181*D23)/1.2),"Invalid"))))</f>
        <v>73.743744689607169</v>
      </c>
      <c r="F23" s="98">
        <f>IF(OR(Package="F324",Package="F400"),E23*(calTotal!$G$31^2),E23*(calTotal!$G$104^2))</f>
        <v>106.19099235303432</v>
      </c>
      <c r="G23" s="98">
        <f>IF(calTotal!$G$39="-",0,IF(OR(calTotal!$E$11="Nominal",calTotal!$E$11="Maximum"),IF(AND(calTotal!$G$39&gt;=1.14,calTotal!$G$39&lt;=1.3),((10.144*EXP(0.0051*D23))*(calTotal!$G$39^2)),((28.333*EXP(0.002*D23))*(calTotal!$G$39^2))),IF(calTotal!$G$39=1.14,((10.144*EXP(0.0051*D23))*(calTotal!$G$39^2)),((28.333*EXP(0.002*D23))*(calTotal!$G$39^2)))))</f>
        <v>0</v>
      </c>
      <c r="H23" s="99">
        <f>IF(Package="F324",SUM(calTotal!$D$30:$D$36)+calTotal!$M$19+F23+G23+calTotal!$N$28,IF(Package="F400",SUM(calTotal!$D$30:$D$35)+calTotal!$M$19+F23+G23+calTotal!$N$28,IF(OR(Package="W80",Package="F169"),SUM(calTotal!$D$103:$D$109)+F23+calTotal!$N$90,SUM(calTotal!$D$103:$D$108)+F23+calTotal!$N$90)))</f>
        <v>1684.5433188383333</v>
      </c>
    </row>
    <row r="24" spans="3:8" x14ac:dyDescent="0.35">
      <c r="C24" s="96">
        <v>22</v>
      </c>
      <c r="D24" s="92">
        <f>IF(OR(Package="F324",Package="F400"),calTotal!$E$16+(IF(calTotal!$E$18="None",calTotal!$E$21,calTotal!$E$20)*(H23*0.001)),calTotal!$E$89+(IF(calTotal!$E$91="None",calTotal!$E$94,calTotal!$E$93)*(H23*0.001)))</f>
        <v>111.34211007871819</v>
      </c>
      <c r="E24" s="92">
        <f>IF(OR(calTotal!$E$7="W80",calTotal!$E$7="Q100",calTotal!$E$7="Q144",calTotal!$E$7="F169",calTotal!$E$7="F256"),IF(calTotal!$E$9="Typical",IF(calTotal!$E$7="W80",(2.7909*EXP(0.0293*D24)/1.2),IF(OR(calTotal!$E$7="Q100",calTotal!$E$7="Q144"),(3.3892*EXP(0.0293*D24)/1.2),IF(calTotal!$E$7="F169",(2.7089*EXP(0.0293*D24)/1.2),IF(calTotal!$E$7="F256",(3.3892*EXP(0.0293*D24)/1.2),"Invalid")))),IF(calTotal!$E$9="Maximum",(7.2106*EXP(0.0293*D24)/1.2),"Invalid")),IF(OR(calTotal!$E$7="F324",calTotal!$E$7="F400"),IF(calTotal!$E$9="Typical",IF(calTotal!$E$7="F324",(19.1814*EXP(0.0181*D24)/1.2),IF(calTotal!$E$7="F400",(19.3955*EXP(0.0181*D24)/1.2),"Invalid")),IF(calTotal!$E$9="Maximum",(34.982*EXP(0.0181*D24)/1.2),"Invalid"))))</f>
        <v>73.743744689607169</v>
      </c>
      <c r="F24" s="98">
        <f>IF(OR(Package="F324",Package="F400"),E24*(calTotal!$G$31^2),E24*(calTotal!$G$104^2))</f>
        <v>106.19099235303432</v>
      </c>
      <c r="G24" s="98">
        <f>IF(calTotal!$G$39="-",0,IF(OR(calTotal!$E$11="Nominal",calTotal!$E$11="Maximum"),IF(AND(calTotal!$G$39&gt;=1.14,calTotal!$G$39&lt;=1.3),((10.144*EXP(0.0051*D24))*(calTotal!$G$39^2)),((28.333*EXP(0.002*D24))*(calTotal!$G$39^2))),IF(calTotal!$G$39=1.14,((10.144*EXP(0.0051*D24))*(calTotal!$G$39^2)),((28.333*EXP(0.002*D24))*(calTotal!$G$39^2)))))</f>
        <v>0</v>
      </c>
      <c r="H24" s="99">
        <f>IF(Package="F324",SUM(calTotal!$D$30:$D$36)+calTotal!$M$19+F24+G24+calTotal!$N$28,IF(Package="F400",SUM(calTotal!$D$30:$D$35)+calTotal!$M$19+F24+G24+calTotal!$N$28,IF(OR(Package="W80",Package="F169"),SUM(calTotal!$D$103:$D$109)+F24+calTotal!$N$90,SUM(calTotal!$D$103:$D$108)+F24+calTotal!$N$90)))</f>
        <v>1684.5433188383333</v>
      </c>
    </row>
    <row r="25" spans="3:8" x14ac:dyDescent="0.35">
      <c r="C25" s="96">
        <v>23</v>
      </c>
      <c r="D25" s="92">
        <f>IF(OR(Package="F324",Package="F400"),calTotal!$E$16+(IF(calTotal!$E$18="None",calTotal!$E$21,calTotal!$E$20)*(H24*0.001)),calTotal!$E$89+(IF(calTotal!$E$91="None",calTotal!$E$94,calTotal!$E$93)*(H24*0.001)))</f>
        <v>111.34211007871819</v>
      </c>
      <c r="E25" s="92">
        <f>IF(OR(calTotal!$E$7="W80",calTotal!$E$7="Q100",calTotal!$E$7="Q144",calTotal!$E$7="F169",calTotal!$E$7="F256"),IF(calTotal!$E$9="Typical",IF(calTotal!$E$7="W80",(2.7909*EXP(0.0293*D25)/1.2),IF(OR(calTotal!$E$7="Q100",calTotal!$E$7="Q144"),(3.3892*EXP(0.0293*D25)/1.2),IF(calTotal!$E$7="F169",(2.7089*EXP(0.0293*D25)/1.2),IF(calTotal!$E$7="F256",(3.3892*EXP(0.0293*D25)/1.2),"Invalid")))),IF(calTotal!$E$9="Maximum",(7.2106*EXP(0.0293*D25)/1.2),"Invalid")),IF(OR(calTotal!$E$7="F324",calTotal!$E$7="F400"),IF(calTotal!$E$9="Typical",IF(calTotal!$E$7="F324",(19.1814*EXP(0.0181*D25)/1.2),IF(calTotal!$E$7="F400",(19.3955*EXP(0.0181*D25)/1.2),"Invalid")),IF(calTotal!$E$9="Maximum",(34.982*EXP(0.0181*D25)/1.2),"Invalid"))))</f>
        <v>73.743744689607169</v>
      </c>
      <c r="F25" s="98">
        <f>IF(OR(Package="F324",Package="F400"),E25*(calTotal!$G$31^2),E25*(calTotal!$G$104^2))</f>
        <v>106.19099235303432</v>
      </c>
      <c r="G25" s="98">
        <f>IF(calTotal!$G$39="-",0,IF(OR(calTotal!$E$11="Nominal",calTotal!$E$11="Maximum"),IF(AND(calTotal!$G$39&gt;=1.14,calTotal!$G$39&lt;=1.3),((10.144*EXP(0.0051*D25))*(calTotal!$G$39^2)),((28.333*EXP(0.002*D25))*(calTotal!$G$39^2))),IF(calTotal!$G$39=1.14,((10.144*EXP(0.0051*D25))*(calTotal!$G$39^2)),((28.333*EXP(0.002*D25))*(calTotal!$G$39^2)))))</f>
        <v>0</v>
      </c>
      <c r="H25" s="99">
        <f>IF(Package="F324",SUM(calTotal!$D$30:$D$36)+calTotal!$M$19+F25+G25+calTotal!$N$28,IF(Package="F400",SUM(calTotal!$D$30:$D$35)+calTotal!$M$19+F25+G25+calTotal!$N$28,IF(OR(Package="W80",Package="F169"),SUM(calTotal!$D$103:$D$109)+F25+calTotal!$N$90,SUM(calTotal!$D$103:$D$108)+F25+calTotal!$N$90)))</f>
        <v>1684.5433188383333</v>
      </c>
    </row>
    <row r="26" spans="3:8" x14ac:dyDescent="0.35">
      <c r="C26" s="96">
        <v>24</v>
      </c>
      <c r="D26" s="92">
        <f>IF(OR(Package="F324",Package="F400"),calTotal!$E$16+(IF(calTotal!$E$18="None",calTotal!$E$21,calTotal!$E$20)*(H25*0.001)),calTotal!$E$89+(IF(calTotal!$E$91="None",calTotal!$E$94,calTotal!$E$93)*(H25*0.001)))</f>
        <v>111.34211007871819</v>
      </c>
      <c r="E26" s="92">
        <f>IF(OR(calTotal!$E$7="W80",calTotal!$E$7="Q100",calTotal!$E$7="Q144",calTotal!$E$7="F169",calTotal!$E$7="F256"),IF(calTotal!$E$9="Typical",IF(calTotal!$E$7="W80",(2.7909*EXP(0.0293*D26)/1.2),IF(OR(calTotal!$E$7="Q100",calTotal!$E$7="Q144"),(3.3892*EXP(0.0293*D26)/1.2),IF(calTotal!$E$7="F169",(2.7089*EXP(0.0293*D26)/1.2),IF(calTotal!$E$7="F256",(3.3892*EXP(0.0293*D26)/1.2),"Invalid")))),IF(calTotal!$E$9="Maximum",(7.2106*EXP(0.0293*D26)/1.2),"Invalid")),IF(OR(calTotal!$E$7="F324",calTotal!$E$7="F400"),IF(calTotal!$E$9="Typical",IF(calTotal!$E$7="F324",(19.1814*EXP(0.0181*D26)/1.2),IF(calTotal!$E$7="F400",(19.3955*EXP(0.0181*D26)/1.2),"Invalid")),IF(calTotal!$E$9="Maximum",(34.982*EXP(0.0181*D26)/1.2),"Invalid"))))</f>
        <v>73.743744689607169</v>
      </c>
      <c r="F26" s="98">
        <f>IF(OR(Package="F324",Package="F400"),E26*(calTotal!$G$31^2),E26*(calTotal!$G$104^2))</f>
        <v>106.19099235303432</v>
      </c>
      <c r="G26" s="98">
        <f>IF(calTotal!$G$39="-",0,IF(OR(calTotal!$E$11="Nominal",calTotal!$E$11="Maximum"),IF(AND(calTotal!$G$39&gt;=1.14,calTotal!$G$39&lt;=1.3),((10.144*EXP(0.0051*D26))*(calTotal!$G$39^2)),((28.333*EXP(0.002*D26))*(calTotal!$G$39^2))),IF(calTotal!$G$39=1.14,((10.144*EXP(0.0051*D26))*(calTotal!$G$39^2)),((28.333*EXP(0.002*D26))*(calTotal!$G$39^2)))))</f>
        <v>0</v>
      </c>
      <c r="H26" s="99">
        <f>IF(Package="F324",SUM(calTotal!$D$30:$D$36)+calTotal!$M$19+F26+G26+calTotal!$N$28,IF(Package="F400",SUM(calTotal!$D$30:$D$35)+calTotal!$M$19+F26+G26+calTotal!$N$28,IF(OR(Package="W80",Package="F169"),SUM(calTotal!$D$103:$D$109)+F26+calTotal!$N$90,SUM(calTotal!$D$103:$D$108)+F26+calTotal!$N$90)))</f>
        <v>1684.5433188383333</v>
      </c>
    </row>
    <row r="27" spans="3:8" x14ac:dyDescent="0.35">
      <c r="C27" s="96">
        <v>25</v>
      </c>
      <c r="D27" s="92">
        <f>IF(OR(Package="F324",Package="F400"),calTotal!$E$16+(IF(calTotal!$E$18="None",calTotal!$E$21,calTotal!$E$20)*(H26*0.001)),calTotal!$E$89+(IF(calTotal!$E$91="None",calTotal!$E$94,calTotal!$E$93)*(H26*0.001)))</f>
        <v>111.34211007871819</v>
      </c>
      <c r="E27" s="92">
        <f>IF(OR(calTotal!$E$7="W80",calTotal!$E$7="Q100",calTotal!$E$7="Q144",calTotal!$E$7="F169",calTotal!$E$7="F256"),IF(calTotal!$E$9="Typical",IF(calTotal!$E$7="W80",(2.7909*EXP(0.0293*D27)/1.2),IF(OR(calTotal!$E$7="Q100",calTotal!$E$7="Q144"),(3.3892*EXP(0.0293*D27)/1.2),IF(calTotal!$E$7="F169",(2.7089*EXP(0.0293*D27)/1.2),IF(calTotal!$E$7="F256",(3.3892*EXP(0.0293*D27)/1.2),"Invalid")))),IF(calTotal!$E$9="Maximum",(7.2106*EXP(0.0293*D27)/1.2),"Invalid")),IF(OR(calTotal!$E$7="F324",calTotal!$E$7="F400"),IF(calTotal!$E$9="Typical",IF(calTotal!$E$7="F324",(19.1814*EXP(0.0181*D27)/1.2),IF(calTotal!$E$7="F400",(19.3955*EXP(0.0181*D27)/1.2),"Invalid")),IF(calTotal!$E$9="Maximum",(34.982*EXP(0.0181*D27)/1.2),"Invalid"))))</f>
        <v>73.743744689607169</v>
      </c>
      <c r="F27" s="98">
        <f>IF(OR(Package="F324",Package="F400"),E27*(calTotal!$G$31^2),E27*(calTotal!$G$104^2))</f>
        <v>106.19099235303432</v>
      </c>
      <c r="G27" s="98">
        <f>IF(calTotal!$G$39="-",0,IF(OR(calTotal!$E$11="Nominal",calTotal!$E$11="Maximum"),IF(AND(calTotal!$G$39&gt;=1.14,calTotal!$G$39&lt;=1.3),((10.144*EXP(0.0051*D27))*(calTotal!$G$39^2)),((28.333*EXP(0.002*D27))*(calTotal!$G$39^2))),IF(calTotal!$G$39=1.14,((10.144*EXP(0.0051*D27))*(calTotal!$G$39^2)),((28.333*EXP(0.002*D27))*(calTotal!$G$39^2)))))</f>
        <v>0</v>
      </c>
      <c r="H27" s="99">
        <f>IF(Package="F324",SUM(calTotal!$D$30:$D$36)+calTotal!$M$19+F27+G27+calTotal!$N$28,IF(Package="F400",SUM(calTotal!$D$30:$D$35)+calTotal!$M$19+F27+G27+calTotal!$N$28,IF(OR(Package="W80",Package="F169"),SUM(calTotal!$D$103:$D$109)+F27+calTotal!$N$90,SUM(calTotal!$D$103:$D$108)+F27+calTotal!$N$90)))</f>
        <v>1684.5433188383333</v>
      </c>
    </row>
    <row r="28" spans="3:8" x14ac:dyDescent="0.35">
      <c r="C28" s="96">
        <v>26</v>
      </c>
      <c r="D28" s="92">
        <f>IF(OR(Package="F324",Package="F400"),calTotal!$E$16+(IF(calTotal!$E$18="None",calTotal!$E$21,calTotal!$E$20)*(H27*0.001)),calTotal!$E$89+(IF(calTotal!$E$91="None",calTotal!$E$94,calTotal!$E$93)*(H27*0.001)))</f>
        <v>111.34211007871819</v>
      </c>
      <c r="E28" s="92">
        <f>IF(OR(calTotal!$E$7="W80",calTotal!$E$7="Q100",calTotal!$E$7="Q144",calTotal!$E$7="F169",calTotal!$E$7="F256"),IF(calTotal!$E$9="Typical",IF(calTotal!$E$7="W80",(2.7909*EXP(0.0293*D28)/1.2),IF(OR(calTotal!$E$7="Q100",calTotal!$E$7="Q144"),(3.3892*EXP(0.0293*D28)/1.2),IF(calTotal!$E$7="F169",(2.7089*EXP(0.0293*D28)/1.2),IF(calTotal!$E$7="F256",(3.3892*EXP(0.0293*D28)/1.2),"Invalid")))),IF(calTotal!$E$9="Maximum",(7.2106*EXP(0.0293*D28)/1.2),"Invalid")),IF(OR(calTotal!$E$7="F324",calTotal!$E$7="F400"),IF(calTotal!$E$9="Typical",IF(calTotal!$E$7="F324",(19.1814*EXP(0.0181*D28)/1.2),IF(calTotal!$E$7="F400",(19.3955*EXP(0.0181*D28)/1.2),"Invalid")),IF(calTotal!$E$9="Maximum",(34.982*EXP(0.0181*D28)/1.2),"Invalid"))))</f>
        <v>73.743744689607169</v>
      </c>
      <c r="F28" s="98">
        <f>IF(OR(Package="F324",Package="F400"),E28*(calTotal!$G$31^2),E28*(calTotal!$G$104^2))</f>
        <v>106.19099235303432</v>
      </c>
      <c r="G28" s="98">
        <f>IF(calTotal!$G$39="-",0,IF(OR(calTotal!$E$11="Nominal",calTotal!$E$11="Maximum"),IF(AND(calTotal!$G$39&gt;=1.14,calTotal!$G$39&lt;=1.3),((10.144*EXP(0.0051*D28))*(calTotal!$G$39^2)),((28.333*EXP(0.002*D28))*(calTotal!$G$39^2))),IF(calTotal!$G$39=1.14,((10.144*EXP(0.0051*D28))*(calTotal!$G$39^2)),((28.333*EXP(0.002*D28))*(calTotal!$G$39^2)))))</f>
        <v>0</v>
      </c>
      <c r="H28" s="99">
        <f>IF(Package="F324",SUM(calTotal!$D$30:$D$36)+calTotal!$M$19+F28+G28+calTotal!$N$28,IF(Package="F400",SUM(calTotal!$D$30:$D$35)+calTotal!$M$19+F28+G28+calTotal!$N$28,IF(OR(Package="W80",Package="F169"),SUM(calTotal!$D$103:$D$109)+F28+calTotal!$N$90,SUM(calTotal!$D$103:$D$108)+F28+calTotal!$N$90)))</f>
        <v>1684.5433188383333</v>
      </c>
    </row>
    <row r="29" spans="3:8" x14ac:dyDescent="0.35">
      <c r="C29" s="96">
        <v>27</v>
      </c>
      <c r="D29" s="92">
        <f>IF(OR(Package="F324",Package="F400"),calTotal!$E$16+(IF(calTotal!$E$18="None",calTotal!$E$21,calTotal!$E$20)*(H28*0.001)),calTotal!$E$89+(IF(calTotal!$E$91="None",calTotal!$E$94,calTotal!$E$93)*(H28*0.001)))</f>
        <v>111.34211007871819</v>
      </c>
      <c r="E29" s="92">
        <f>IF(OR(calTotal!$E$7="W80",calTotal!$E$7="Q100",calTotal!$E$7="Q144",calTotal!$E$7="F169",calTotal!$E$7="F256"),IF(calTotal!$E$9="Typical",IF(calTotal!$E$7="W80",(2.7909*EXP(0.0293*D29)/1.2),IF(OR(calTotal!$E$7="Q100",calTotal!$E$7="Q144"),(3.3892*EXP(0.0293*D29)/1.2),IF(calTotal!$E$7="F169",(2.7089*EXP(0.0293*D29)/1.2),IF(calTotal!$E$7="F256",(3.3892*EXP(0.0293*D29)/1.2),"Invalid")))),IF(calTotal!$E$9="Maximum",(7.2106*EXP(0.0293*D29)/1.2),"Invalid")),IF(OR(calTotal!$E$7="F324",calTotal!$E$7="F400"),IF(calTotal!$E$9="Typical",IF(calTotal!$E$7="F324",(19.1814*EXP(0.0181*D29)/1.2),IF(calTotal!$E$7="F400",(19.3955*EXP(0.0181*D29)/1.2),"Invalid")),IF(calTotal!$E$9="Maximum",(34.982*EXP(0.0181*D29)/1.2),"Invalid"))))</f>
        <v>73.743744689607169</v>
      </c>
      <c r="F29" s="98">
        <f>IF(OR(Package="F324",Package="F400"),E29*(calTotal!$G$31^2),E29*(calTotal!$G$104^2))</f>
        <v>106.19099235303432</v>
      </c>
      <c r="G29" s="98">
        <f>IF(calTotal!$G$39="-",0,IF(OR(calTotal!$E$11="Nominal",calTotal!$E$11="Maximum"),IF(AND(calTotal!$G$39&gt;=1.14,calTotal!$G$39&lt;=1.3),((10.144*EXP(0.0051*D29))*(calTotal!$G$39^2)),((28.333*EXP(0.002*D29))*(calTotal!$G$39^2))),IF(calTotal!$G$39=1.14,((10.144*EXP(0.0051*D29))*(calTotal!$G$39^2)),((28.333*EXP(0.002*D29))*(calTotal!$G$39^2)))))</f>
        <v>0</v>
      </c>
      <c r="H29" s="99">
        <f>IF(Package="F324",SUM(calTotal!$D$30:$D$36)+calTotal!$M$19+F29+G29+calTotal!$N$28,IF(Package="F400",SUM(calTotal!$D$30:$D$35)+calTotal!$M$19+F29+G29+calTotal!$N$28,IF(OR(Package="W80",Package="F169"),SUM(calTotal!$D$103:$D$109)+F29+calTotal!$N$90,SUM(calTotal!$D$103:$D$108)+F29+calTotal!$N$90)))</f>
        <v>1684.5433188383333</v>
      </c>
    </row>
    <row r="30" spans="3:8" x14ac:dyDescent="0.35">
      <c r="C30" s="96">
        <v>28</v>
      </c>
      <c r="D30" s="92">
        <f>IF(OR(Package="F324",Package="F400"),calTotal!$E$16+(IF(calTotal!$E$18="None",calTotal!$E$21,calTotal!$E$20)*(H29*0.001)),calTotal!$E$89+(IF(calTotal!$E$91="None",calTotal!$E$94,calTotal!$E$93)*(H29*0.001)))</f>
        <v>111.34211007871819</v>
      </c>
      <c r="E30" s="92">
        <f>IF(OR(calTotal!$E$7="W80",calTotal!$E$7="Q100",calTotal!$E$7="Q144",calTotal!$E$7="F169",calTotal!$E$7="F256"),IF(calTotal!$E$9="Typical",IF(calTotal!$E$7="W80",(2.7909*EXP(0.0293*D30)/1.2),IF(OR(calTotal!$E$7="Q100",calTotal!$E$7="Q144"),(3.3892*EXP(0.0293*D30)/1.2),IF(calTotal!$E$7="F169",(2.7089*EXP(0.0293*D30)/1.2),IF(calTotal!$E$7="F256",(3.3892*EXP(0.0293*D30)/1.2),"Invalid")))),IF(calTotal!$E$9="Maximum",(7.2106*EXP(0.0293*D30)/1.2),"Invalid")),IF(OR(calTotal!$E$7="F324",calTotal!$E$7="F400"),IF(calTotal!$E$9="Typical",IF(calTotal!$E$7="F324",(19.1814*EXP(0.0181*D30)/1.2),IF(calTotal!$E$7="F400",(19.3955*EXP(0.0181*D30)/1.2),"Invalid")),IF(calTotal!$E$9="Maximum",(34.982*EXP(0.0181*D30)/1.2),"Invalid"))))</f>
        <v>73.743744689607169</v>
      </c>
      <c r="F30" s="98">
        <f>IF(OR(Package="F324",Package="F400"),E30*(calTotal!$G$31^2),E30*(calTotal!$G$104^2))</f>
        <v>106.19099235303432</v>
      </c>
      <c r="G30" s="98">
        <f>IF(calTotal!$G$39="-",0,IF(OR(calTotal!$E$11="Nominal",calTotal!$E$11="Maximum"),IF(AND(calTotal!$G$39&gt;=1.14,calTotal!$G$39&lt;=1.3),((10.144*EXP(0.0051*D30))*(calTotal!$G$39^2)),((28.333*EXP(0.002*D30))*(calTotal!$G$39^2))),IF(calTotal!$G$39=1.14,((10.144*EXP(0.0051*D30))*(calTotal!$G$39^2)),((28.333*EXP(0.002*D30))*(calTotal!$G$39^2)))))</f>
        <v>0</v>
      </c>
      <c r="H30" s="99">
        <f>IF(Package="F324",SUM(calTotal!$D$30:$D$36)+calTotal!$M$19+F30+G30+calTotal!$N$28,IF(Package="F400",SUM(calTotal!$D$30:$D$35)+calTotal!$M$19+F30+G30+calTotal!$N$28,IF(OR(Package="W80",Package="F169"),SUM(calTotal!$D$103:$D$109)+F30+calTotal!$N$90,SUM(calTotal!$D$103:$D$108)+F30+calTotal!$N$90)))</f>
        <v>1684.5433188383333</v>
      </c>
    </row>
    <row r="31" spans="3:8" x14ac:dyDescent="0.35">
      <c r="C31" s="96">
        <v>29</v>
      </c>
      <c r="D31" s="92">
        <f>IF(OR(Package="F324",Package="F400"),calTotal!$E$16+(IF(calTotal!$E$18="None",calTotal!$E$21,calTotal!$E$20)*(H30*0.001)),calTotal!$E$89+(IF(calTotal!$E$91="None",calTotal!$E$94,calTotal!$E$93)*(H30*0.001)))</f>
        <v>111.34211007871819</v>
      </c>
      <c r="E31" s="92">
        <f>IF(OR(calTotal!$E$7="W80",calTotal!$E$7="Q100",calTotal!$E$7="Q144",calTotal!$E$7="F169",calTotal!$E$7="F256"),IF(calTotal!$E$9="Typical",IF(calTotal!$E$7="W80",(2.7909*EXP(0.0293*D31)/1.2),IF(OR(calTotal!$E$7="Q100",calTotal!$E$7="Q144"),(3.3892*EXP(0.0293*D31)/1.2),IF(calTotal!$E$7="F169",(2.7089*EXP(0.0293*D31)/1.2),IF(calTotal!$E$7="F256",(3.3892*EXP(0.0293*D31)/1.2),"Invalid")))),IF(calTotal!$E$9="Maximum",(7.2106*EXP(0.0293*D31)/1.2),"Invalid")),IF(OR(calTotal!$E$7="F324",calTotal!$E$7="F400"),IF(calTotal!$E$9="Typical",IF(calTotal!$E$7="F324",(19.1814*EXP(0.0181*D31)/1.2),IF(calTotal!$E$7="F400",(19.3955*EXP(0.0181*D31)/1.2),"Invalid")),IF(calTotal!$E$9="Maximum",(34.982*EXP(0.0181*D31)/1.2),"Invalid"))))</f>
        <v>73.743744689607169</v>
      </c>
      <c r="F31" s="98">
        <f>IF(OR(Package="F324",Package="F400"),E31*(calTotal!$G$31^2),E31*(calTotal!$G$104^2))</f>
        <v>106.19099235303432</v>
      </c>
      <c r="G31" s="98">
        <f>IF(calTotal!$G$39="-",0,IF(OR(calTotal!$E$11="Nominal",calTotal!$E$11="Maximum"),IF(AND(calTotal!$G$39&gt;=1.14,calTotal!$G$39&lt;=1.3),((10.144*EXP(0.0051*D31))*(calTotal!$G$39^2)),((28.333*EXP(0.002*D31))*(calTotal!$G$39^2))),IF(calTotal!$G$39=1.14,((10.144*EXP(0.0051*D31))*(calTotal!$G$39^2)),((28.333*EXP(0.002*D31))*(calTotal!$G$39^2)))))</f>
        <v>0</v>
      </c>
      <c r="H31" s="99">
        <f>IF(Package="F324",SUM(calTotal!$D$30:$D$36)+calTotal!$M$19+F31+G31+calTotal!$N$28,IF(Package="F400",SUM(calTotal!$D$30:$D$35)+calTotal!$M$19+F31+G31+calTotal!$N$28,IF(OR(Package="W80",Package="F169"),SUM(calTotal!$D$103:$D$109)+F31+calTotal!$N$90,SUM(calTotal!$D$103:$D$108)+F31+calTotal!$N$90)))</f>
        <v>1684.5433188383333</v>
      </c>
    </row>
    <row r="32" spans="3:8" x14ac:dyDescent="0.35">
      <c r="C32" s="96">
        <v>30</v>
      </c>
      <c r="D32" s="92">
        <f>IF(OR(Package="F324",Package="F400"),calTotal!$E$16+(IF(calTotal!$E$18="None",calTotal!$E$21,calTotal!$E$20)*(H31*0.001)),calTotal!$E$89+(IF(calTotal!$E$91="None",calTotal!$E$94,calTotal!$E$93)*(H31*0.001)))</f>
        <v>111.34211007871819</v>
      </c>
      <c r="E32" s="92">
        <f>IF(OR(calTotal!$E$7="W80",calTotal!$E$7="Q100",calTotal!$E$7="Q144",calTotal!$E$7="F169",calTotal!$E$7="F256"),IF(calTotal!$E$9="Typical",IF(calTotal!$E$7="W80",(2.7909*EXP(0.0293*D32)/1.2),IF(OR(calTotal!$E$7="Q100",calTotal!$E$7="Q144"),(3.3892*EXP(0.0293*D32)/1.2),IF(calTotal!$E$7="F169",(2.7089*EXP(0.0293*D32)/1.2),IF(calTotal!$E$7="F256",(3.3892*EXP(0.0293*D32)/1.2),"Invalid")))),IF(calTotal!$E$9="Maximum",(7.2106*EXP(0.0293*D32)/1.2),"Invalid")),IF(OR(calTotal!$E$7="F324",calTotal!$E$7="F400"),IF(calTotal!$E$9="Typical",IF(calTotal!$E$7="F324",(19.1814*EXP(0.0181*D32)/1.2),IF(calTotal!$E$7="F400",(19.3955*EXP(0.0181*D32)/1.2),"Invalid")),IF(calTotal!$E$9="Maximum",(34.982*EXP(0.0181*D32)/1.2),"Invalid"))))</f>
        <v>73.743744689607169</v>
      </c>
      <c r="F32" s="98">
        <f>IF(OR(Package="F324",Package="F400"),E32*(calTotal!$G$31^2),E32*(calTotal!$G$104^2))</f>
        <v>106.19099235303432</v>
      </c>
      <c r="G32" s="98">
        <f>IF(calTotal!$G$39="-",0,IF(OR(calTotal!$E$11="Nominal",calTotal!$E$11="Maximum"),IF(AND(calTotal!$G$39&gt;=1.14,calTotal!$G$39&lt;=1.3),((10.144*EXP(0.0051*D32))*(calTotal!$G$39^2)),((28.333*EXP(0.002*D32))*(calTotal!$G$39^2))),IF(calTotal!$G$39=1.14,((10.144*EXP(0.0051*D32))*(calTotal!$G$39^2)),((28.333*EXP(0.002*D32))*(calTotal!$G$39^2)))))</f>
        <v>0</v>
      </c>
      <c r="H32" s="99">
        <f>IF(Package="F324",SUM(calTotal!$D$30:$D$36)+calTotal!$M$19+F32+G32+calTotal!$N$28,IF(Package="F400",SUM(calTotal!$D$30:$D$35)+calTotal!$M$19+F32+G32+calTotal!$N$28,IF(OR(Package="W80",Package="F169"),SUM(calTotal!$D$103:$D$109)+F32+calTotal!$N$90,SUM(calTotal!$D$103:$D$108)+F32+calTotal!$N$90)))</f>
        <v>1684.5433188383333</v>
      </c>
    </row>
    <row r="33" spans="3:8" x14ac:dyDescent="0.35">
      <c r="C33" s="96">
        <v>31</v>
      </c>
      <c r="D33" s="92">
        <f>IF(OR(Package="F324",Package="F400"),calTotal!$E$16+(IF(calTotal!$E$18="None",calTotal!$E$21,calTotal!$E$20)*(H32*0.001)),calTotal!$E$89+(IF(calTotal!$E$91="None",calTotal!$E$94,calTotal!$E$93)*(H32*0.001)))</f>
        <v>111.34211007871819</v>
      </c>
      <c r="E33" s="92">
        <f>IF(OR(calTotal!$E$7="W80",calTotal!$E$7="Q100",calTotal!$E$7="Q144",calTotal!$E$7="F169",calTotal!$E$7="F256"),IF(calTotal!$E$9="Typical",IF(calTotal!$E$7="W80",(2.7909*EXP(0.0293*D33)/1.2),IF(OR(calTotal!$E$7="Q100",calTotal!$E$7="Q144"),(3.3892*EXP(0.0293*D33)/1.2),IF(calTotal!$E$7="F169",(2.7089*EXP(0.0293*D33)/1.2),IF(calTotal!$E$7="F256",(3.3892*EXP(0.0293*D33)/1.2),"Invalid")))),IF(calTotal!$E$9="Maximum",(7.2106*EXP(0.0293*D33)/1.2),"Invalid")),IF(OR(calTotal!$E$7="F324",calTotal!$E$7="F400"),IF(calTotal!$E$9="Typical",IF(calTotal!$E$7="F324",(19.1814*EXP(0.0181*D33)/1.2),IF(calTotal!$E$7="F400",(19.3955*EXP(0.0181*D33)/1.2),"Invalid")),IF(calTotal!$E$9="Maximum",(34.982*EXP(0.0181*D33)/1.2),"Invalid"))))</f>
        <v>73.743744689607169</v>
      </c>
      <c r="F33" s="98">
        <f>IF(OR(Package="F324",Package="F400"),E33*(calTotal!$G$31^2),E33*(calTotal!$G$104^2))</f>
        <v>106.19099235303432</v>
      </c>
      <c r="G33" s="98">
        <f>IF(calTotal!$G$39="-",0,IF(OR(calTotal!$E$11="Nominal",calTotal!$E$11="Maximum"),IF(AND(calTotal!$G$39&gt;=1.14,calTotal!$G$39&lt;=1.3),((10.144*EXP(0.0051*D33))*(calTotal!$G$39^2)),((28.333*EXP(0.002*D33))*(calTotal!$G$39^2))),IF(calTotal!$G$39=1.14,((10.144*EXP(0.0051*D33))*(calTotal!$G$39^2)),((28.333*EXP(0.002*D33))*(calTotal!$G$39^2)))))</f>
        <v>0</v>
      </c>
      <c r="H33" s="99">
        <f>IF(Package="F324",SUM(calTotal!$D$30:$D$36)+calTotal!$M$19+F33+G33+calTotal!$N$28,IF(Package="F400",SUM(calTotal!$D$30:$D$35)+calTotal!$M$19+F33+G33+calTotal!$N$28,IF(OR(Package="W80",Package="F169"),SUM(calTotal!$D$103:$D$109)+F33+calTotal!$N$90,SUM(calTotal!$D$103:$D$108)+F33+calTotal!$N$90)))</f>
        <v>1684.5433188383333</v>
      </c>
    </row>
    <row r="34" spans="3:8" x14ac:dyDescent="0.35">
      <c r="C34" s="96">
        <v>32</v>
      </c>
      <c r="D34" s="92">
        <f>IF(OR(Package="F324",Package="F400"),calTotal!$E$16+(IF(calTotal!$E$18="None",calTotal!$E$21,calTotal!$E$20)*(H33*0.001)),calTotal!$E$89+(IF(calTotal!$E$91="None",calTotal!$E$94,calTotal!$E$93)*(H33*0.001)))</f>
        <v>111.34211007871819</v>
      </c>
      <c r="E34" s="92">
        <f>IF(OR(calTotal!$E$7="W80",calTotal!$E$7="Q100",calTotal!$E$7="Q144",calTotal!$E$7="F169",calTotal!$E$7="F256"),IF(calTotal!$E$9="Typical",IF(calTotal!$E$7="W80",(2.7909*EXP(0.0293*D34)/1.2),IF(OR(calTotal!$E$7="Q100",calTotal!$E$7="Q144"),(3.3892*EXP(0.0293*D34)/1.2),IF(calTotal!$E$7="F169",(2.7089*EXP(0.0293*D34)/1.2),IF(calTotal!$E$7="F256",(3.3892*EXP(0.0293*D34)/1.2),"Invalid")))),IF(calTotal!$E$9="Maximum",(7.2106*EXP(0.0293*D34)/1.2),"Invalid")),IF(OR(calTotal!$E$7="F324",calTotal!$E$7="F400"),IF(calTotal!$E$9="Typical",IF(calTotal!$E$7="F324",(19.1814*EXP(0.0181*D34)/1.2),IF(calTotal!$E$7="F400",(19.3955*EXP(0.0181*D34)/1.2),"Invalid")),IF(calTotal!$E$9="Maximum",(34.982*EXP(0.0181*D34)/1.2),"Invalid"))))</f>
        <v>73.743744689607169</v>
      </c>
      <c r="F34" s="98">
        <f>IF(OR(Package="F324",Package="F400"),E34*(calTotal!$G$31^2),E34*(calTotal!$G$104^2))</f>
        <v>106.19099235303432</v>
      </c>
      <c r="G34" s="98">
        <f>IF(calTotal!$G$39="-",0,IF(OR(calTotal!$E$11="Nominal",calTotal!$E$11="Maximum"),IF(AND(calTotal!$G$39&gt;=1.14,calTotal!$G$39&lt;=1.3),((10.144*EXP(0.0051*D34))*(calTotal!$G$39^2)),((28.333*EXP(0.002*D34))*(calTotal!$G$39^2))),IF(calTotal!$G$39=1.14,((10.144*EXP(0.0051*D34))*(calTotal!$G$39^2)),((28.333*EXP(0.002*D34))*(calTotal!$G$39^2)))))</f>
        <v>0</v>
      </c>
      <c r="H34" s="99">
        <f>IF(Package="F324",SUM(calTotal!$D$30:$D$36)+calTotal!$M$19+F34+G34+calTotal!$N$28,IF(Package="F400",SUM(calTotal!$D$30:$D$35)+calTotal!$M$19+F34+G34+calTotal!$N$28,IF(OR(Package="W80",Package="F169"),SUM(calTotal!$D$103:$D$109)+F34+calTotal!$N$90,SUM(calTotal!$D$103:$D$108)+F34+calTotal!$N$90)))</f>
        <v>1684.5433188383333</v>
      </c>
    </row>
    <row r="35" spans="3:8" x14ac:dyDescent="0.35">
      <c r="C35" s="96">
        <v>33</v>
      </c>
      <c r="D35" s="92">
        <f>IF(OR(Package="F324",Package="F400"),calTotal!$E$16+(IF(calTotal!$E$18="None",calTotal!$E$21,calTotal!$E$20)*(H34*0.001)),calTotal!$E$89+(IF(calTotal!$E$91="None",calTotal!$E$94,calTotal!$E$93)*(H34*0.001)))</f>
        <v>111.34211007871819</v>
      </c>
      <c r="E35" s="92">
        <f>IF(OR(calTotal!$E$7="W80",calTotal!$E$7="Q100",calTotal!$E$7="Q144",calTotal!$E$7="F169",calTotal!$E$7="F256"),IF(calTotal!$E$9="Typical",IF(calTotal!$E$7="W80",(2.7909*EXP(0.0293*D35)/1.2),IF(OR(calTotal!$E$7="Q100",calTotal!$E$7="Q144"),(3.3892*EXP(0.0293*D35)/1.2),IF(calTotal!$E$7="F169",(2.7089*EXP(0.0293*D35)/1.2),IF(calTotal!$E$7="F256",(3.3892*EXP(0.0293*D35)/1.2),"Invalid")))),IF(calTotal!$E$9="Maximum",(7.2106*EXP(0.0293*D35)/1.2),"Invalid")),IF(OR(calTotal!$E$7="F324",calTotal!$E$7="F400"),IF(calTotal!$E$9="Typical",IF(calTotal!$E$7="F324",(19.1814*EXP(0.0181*D35)/1.2),IF(calTotal!$E$7="F400",(19.3955*EXP(0.0181*D35)/1.2),"Invalid")),IF(calTotal!$E$9="Maximum",(34.982*EXP(0.0181*D35)/1.2),"Invalid"))))</f>
        <v>73.743744689607169</v>
      </c>
      <c r="F35" s="98">
        <f>IF(OR(Package="F324",Package="F400"),E35*(calTotal!$G$31^2),E35*(calTotal!$G$104^2))</f>
        <v>106.19099235303432</v>
      </c>
      <c r="G35" s="98">
        <f>IF(calTotal!$G$39="-",0,IF(OR(calTotal!$E$11="Nominal",calTotal!$E$11="Maximum"),IF(AND(calTotal!$G$39&gt;=1.14,calTotal!$G$39&lt;=1.3),((10.144*EXP(0.0051*D35))*(calTotal!$G$39^2)),((28.333*EXP(0.002*D35))*(calTotal!$G$39^2))),IF(calTotal!$G$39=1.14,((10.144*EXP(0.0051*D35))*(calTotal!$G$39^2)),((28.333*EXP(0.002*D35))*(calTotal!$G$39^2)))))</f>
        <v>0</v>
      </c>
      <c r="H35" s="99">
        <f>IF(Package="F324",SUM(calTotal!$D$30:$D$36)+calTotal!$M$19+F35+G35+calTotal!$N$28,IF(Package="F400",SUM(calTotal!$D$30:$D$35)+calTotal!$M$19+F35+G35+calTotal!$N$28,IF(OR(Package="W80",Package="F169"),SUM(calTotal!$D$103:$D$109)+F35+calTotal!$N$90,SUM(calTotal!$D$103:$D$108)+F35+calTotal!$N$90)))</f>
        <v>1684.5433188383333</v>
      </c>
    </row>
    <row r="36" spans="3:8" x14ac:dyDescent="0.35">
      <c r="C36" s="96">
        <v>34</v>
      </c>
      <c r="D36" s="92">
        <f>IF(OR(Package="F324",Package="F400"),calTotal!$E$16+(IF(calTotal!$E$18="None",calTotal!$E$21,calTotal!$E$20)*(H35*0.001)),calTotal!$E$89+(IF(calTotal!$E$91="None",calTotal!$E$94,calTotal!$E$93)*(H35*0.001)))</f>
        <v>111.34211007871819</v>
      </c>
      <c r="E36" s="92">
        <f>IF(OR(calTotal!$E$7="W80",calTotal!$E$7="Q100",calTotal!$E$7="Q144",calTotal!$E$7="F169",calTotal!$E$7="F256"),IF(calTotal!$E$9="Typical",IF(calTotal!$E$7="W80",(2.7909*EXP(0.0293*D36)/1.2),IF(OR(calTotal!$E$7="Q100",calTotal!$E$7="Q144"),(3.3892*EXP(0.0293*D36)/1.2),IF(calTotal!$E$7="F169",(2.7089*EXP(0.0293*D36)/1.2),IF(calTotal!$E$7="F256",(3.3892*EXP(0.0293*D36)/1.2),"Invalid")))),IF(calTotal!$E$9="Maximum",(7.2106*EXP(0.0293*D36)/1.2),"Invalid")),IF(OR(calTotal!$E$7="F324",calTotal!$E$7="F400"),IF(calTotal!$E$9="Typical",IF(calTotal!$E$7="F324",(19.1814*EXP(0.0181*D36)/1.2),IF(calTotal!$E$7="F400",(19.3955*EXP(0.0181*D36)/1.2),"Invalid")),IF(calTotal!$E$9="Maximum",(34.982*EXP(0.0181*D36)/1.2),"Invalid"))))</f>
        <v>73.743744689607169</v>
      </c>
      <c r="F36" s="98">
        <f>IF(OR(Package="F324",Package="F400"),E36*(calTotal!$G$31^2),E36*(calTotal!$G$104^2))</f>
        <v>106.19099235303432</v>
      </c>
      <c r="G36" s="98">
        <f>IF(calTotal!$G$39="-",0,IF(OR(calTotal!$E$11="Nominal",calTotal!$E$11="Maximum"),IF(AND(calTotal!$G$39&gt;=1.14,calTotal!$G$39&lt;=1.3),((10.144*EXP(0.0051*D36))*(calTotal!$G$39^2)),((28.333*EXP(0.002*D36))*(calTotal!$G$39^2))),IF(calTotal!$G$39=1.14,((10.144*EXP(0.0051*D36))*(calTotal!$G$39^2)),((28.333*EXP(0.002*D36))*(calTotal!$G$39^2)))))</f>
        <v>0</v>
      </c>
      <c r="H36" s="99">
        <f>IF(Package="F324",SUM(calTotal!$D$30:$D$36)+calTotal!$M$19+F36+G36+calTotal!$N$28,IF(Package="F400",SUM(calTotal!$D$30:$D$35)+calTotal!$M$19+F36+G36+calTotal!$N$28,IF(OR(Package="W80",Package="F169"),SUM(calTotal!$D$103:$D$109)+F36+calTotal!$N$90,SUM(calTotal!$D$103:$D$108)+F36+calTotal!$N$90)))</f>
        <v>1684.5433188383333</v>
      </c>
    </row>
    <row r="37" spans="3:8" x14ac:dyDescent="0.35">
      <c r="C37" s="96">
        <v>35</v>
      </c>
      <c r="D37" s="92">
        <f>IF(OR(Package="F324",Package="F400"),calTotal!$E$16+(IF(calTotal!$E$18="None",calTotal!$E$21,calTotal!$E$20)*(H36*0.001)),calTotal!$E$89+(IF(calTotal!$E$91="None",calTotal!$E$94,calTotal!$E$93)*(H36*0.001)))</f>
        <v>111.34211007871819</v>
      </c>
      <c r="E37" s="92">
        <f>IF(OR(calTotal!$E$7="W80",calTotal!$E$7="Q100",calTotal!$E$7="Q144",calTotal!$E$7="F169",calTotal!$E$7="F256"),IF(calTotal!$E$9="Typical",IF(calTotal!$E$7="W80",(2.7909*EXP(0.0293*D37)/1.2),IF(OR(calTotal!$E$7="Q100",calTotal!$E$7="Q144"),(3.3892*EXP(0.0293*D37)/1.2),IF(calTotal!$E$7="F169",(2.7089*EXP(0.0293*D37)/1.2),IF(calTotal!$E$7="F256",(3.3892*EXP(0.0293*D37)/1.2),"Invalid")))),IF(calTotal!$E$9="Maximum",(7.2106*EXP(0.0293*D37)/1.2),"Invalid")),IF(OR(calTotal!$E$7="F324",calTotal!$E$7="F400"),IF(calTotal!$E$9="Typical",IF(calTotal!$E$7="F324",(19.1814*EXP(0.0181*D37)/1.2),IF(calTotal!$E$7="F400",(19.3955*EXP(0.0181*D37)/1.2),"Invalid")),IF(calTotal!$E$9="Maximum",(34.982*EXP(0.0181*D37)/1.2),"Invalid"))))</f>
        <v>73.743744689607169</v>
      </c>
      <c r="F37" s="98">
        <f>IF(OR(Package="F324",Package="F400"),E37*(calTotal!$G$31^2),E37*(calTotal!$G$104^2))</f>
        <v>106.19099235303432</v>
      </c>
      <c r="G37" s="98">
        <f>IF(calTotal!$G$39="-",0,IF(OR(calTotal!$E$11="Nominal",calTotal!$E$11="Maximum"),IF(AND(calTotal!$G$39&gt;=1.14,calTotal!$G$39&lt;=1.3),((10.144*EXP(0.0051*D37))*(calTotal!$G$39^2)),((28.333*EXP(0.002*D37))*(calTotal!$G$39^2))),IF(calTotal!$G$39=1.14,((10.144*EXP(0.0051*D37))*(calTotal!$G$39^2)),((28.333*EXP(0.002*D37))*(calTotal!$G$39^2)))))</f>
        <v>0</v>
      </c>
      <c r="H37" s="99">
        <f>IF(Package="F324",SUM(calTotal!$D$30:$D$36)+calTotal!$M$19+F37+G37+calTotal!$N$28,IF(Package="F400",SUM(calTotal!$D$30:$D$35)+calTotal!$M$19+F37+G37+calTotal!$N$28,IF(OR(Package="W80",Package="F169"),SUM(calTotal!$D$103:$D$109)+F37+calTotal!$N$90,SUM(calTotal!$D$103:$D$108)+F37+calTotal!$N$90)))</f>
        <v>1684.5433188383333</v>
      </c>
    </row>
    <row r="38" spans="3:8" x14ac:dyDescent="0.35">
      <c r="C38" s="96">
        <v>36</v>
      </c>
      <c r="D38" s="92">
        <f>IF(OR(Package="F324",Package="F400"),calTotal!$E$16+(IF(calTotal!$E$18="None",calTotal!$E$21,calTotal!$E$20)*(H37*0.001)),calTotal!$E$89+(IF(calTotal!$E$91="None",calTotal!$E$94,calTotal!$E$93)*(H37*0.001)))</f>
        <v>111.34211007871819</v>
      </c>
      <c r="E38" s="92">
        <f>IF(OR(calTotal!$E$7="W80",calTotal!$E$7="Q100",calTotal!$E$7="Q144",calTotal!$E$7="F169",calTotal!$E$7="F256"),IF(calTotal!$E$9="Typical",IF(calTotal!$E$7="W80",(2.7909*EXP(0.0293*D38)/1.2),IF(OR(calTotal!$E$7="Q100",calTotal!$E$7="Q144"),(3.3892*EXP(0.0293*D38)/1.2),IF(calTotal!$E$7="F169",(2.7089*EXP(0.0293*D38)/1.2),IF(calTotal!$E$7="F256",(3.3892*EXP(0.0293*D38)/1.2),"Invalid")))),IF(calTotal!$E$9="Maximum",(7.2106*EXP(0.0293*D38)/1.2),"Invalid")),IF(OR(calTotal!$E$7="F324",calTotal!$E$7="F400"),IF(calTotal!$E$9="Typical",IF(calTotal!$E$7="F324",(19.1814*EXP(0.0181*D38)/1.2),IF(calTotal!$E$7="F400",(19.3955*EXP(0.0181*D38)/1.2),"Invalid")),IF(calTotal!$E$9="Maximum",(34.982*EXP(0.0181*D38)/1.2),"Invalid"))))</f>
        <v>73.743744689607169</v>
      </c>
      <c r="F38" s="98">
        <f>IF(OR(Package="F324",Package="F400"),E38*(calTotal!$G$31^2),E38*(calTotal!$G$104^2))</f>
        <v>106.19099235303432</v>
      </c>
      <c r="G38" s="98">
        <f>IF(calTotal!$G$39="-",0,IF(OR(calTotal!$E$11="Nominal",calTotal!$E$11="Maximum"),IF(AND(calTotal!$G$39&gt;=1.14,calTotal!$G$39&lt;=1.3),((10.144*EXP(0.0051*D38))*(calTotal!$G$39^2)),((28.333*EXP(0.002*D38))*(calTotal!$G$39^2))),IF(calTotal!$G$39=1.14,((10.144*EXP(0.0051*D38))*(calTotal!$G$39^2)),((28.333*EXP(0.002*D38))*(calTotal!$G$39^2)))))</f>
        <v>0</v>
      </c>
      <c r="H38" s="99">
        <f>IF(Package="F324",SUM(calTotal!$D$30:$D$36)+calTotal!$M$19+F38+G38+calTotal!$N$28,IF(Package="F400",SUM(calTotal!$D$30:$D$35)+calTotal!$M$19+F38+G38+calTotal!$N$28,IF(OR(Package="W80",Package="F169"),SUM(calTotal!$D$103:$D$109)+F38+calTotal!$N$90,SUM(calTotal!$D$103:$D$108)+F38+calTotal!$N$90)))</f>
        <v>1684.5433188383333</v>
      </c>
    </row>
    <row r="39" spans="3:8" x14ac:dyDescent="0.35">
      <c r="C39" s="96">
        <v>37</v>
      </c>
      <c r="D39" s="92">
        <f>IF(OR(Package="F324",Package="F400"),calTotal!$E$16+(IF(calTotal!$E$18="None",calTotal!$E$21,calTotal!$E$20)*(H38*0.001)),calTotal!$E$89+(IF(calTotal!$E$91="None",calTotal!$E$94,calTotal!$E$93)*(H38*0.001)))</f>
        <v>111.34211007871819</v>
      </c>
      <c r="E39" s="92">
        <f>IF(OR(calTotal!$E$7="W80",calTotal!$E$7="Q100",calTotal!$E$7="Q144",calTotal!$E$7="F169",calTotal!$E$7="F256"),IF(calTotal!$E$9="Typical",IF(calTotal!$E$7="W80",(2.7909*EXP(0.0293*D39)/1.2),IF(OR(calTotal!$E$7="Q100",calTotal!$E$7="Q144"),(3.3892*EXP(0.0293*D39)/1.2),IF(calTotal!$E$7="F169",(2.7089*EXP(0.0293*D39)/1.2),IF(calTotal!$E$7="F256",(3.3892*EXP(0.0293*D39)/1.2),"Invalid")))),IF(calTotal!$E$9="Maximum",(7.2106*EXP(0.0293*D39)/1.2),"Invalid")),IF(OR(calTotal!$E$7="F324",calTotal!$E$7="F400"),IF(calTotal!$E$9="Typical",IF(calTotal!$E$7="F324",(19.1814*EXP(0.0181*D39)/1.2),IF(calTotal!$E$7="F400",(19.3955*EXP(0.0181*D39)/1.2),"Invalid")),IF(calTotal!$E$9="Maximum",(34.982*EXP(0.0181*D39)/1.2),"Invalid"))))</f>
        <v>73.743744689607169</v>
      </c>
      <c r="F39" s="98">
        <f>IF(OR(Package="F324",Package="F400"),E39*(calTotal!$G$31^2),E39*(calTotal!$G$104^2))</f>
        <v>106.19099235303432</v>
      </c>
      <c r="G39" s="98">
        <f>IF(calTotal!$G$39="-",0,IF(OR(calTotal!$E$11="Nominal",calTotal!$E$11="Maximum"),IF(AND(calTotal!$G$39&gt;=1.14,calTotal!$G$39&lt;=1.3),((10.144*EXP(0.0051*D39))*(calTotal!$G$39^2)),((28.333*EXP(0.002*D39))*(calTotal!$G$39^2))),IF(calTotal!$G$39=1.14,((10.144*EXP(0.0051*D39))*(calTotal!$G$39^2)),((28.333*EXP(0.002*D39))*(calTotal!$G$39^2)))))</f>
        <v>0</v>
      </c>
      <c r="H39" s="99">
        <f>IF(Package="F324",SUM(calTotal!$D$30:$D$36)+calTotal!$M$19+F39+G39+calTotal!$N$28,IF(Package="F400",SUM(calTotal!$D$30:$D$35)+calTotal!$M$19+F39+G39+calTotal!$N$28,IF(OR(Package="W80",Package="F169"),SUM(calTotal!$D$103:$D$109)+F39+calTotal!$N$90,SUM(calTotal!$D$103:$D$108)+F39+calTotal!$N$90)))</f>
        <v>1684.5433188383333</v>
      </c>
    </row>
    <row r="40" spans="3:8" x14ac:dyDescent="0.35">
      <c r="C40" s="96">
        <v>38</v>
      </c>
      <c r="D40" s="92">
        <f>IF(OR(Package="F324",Package="F400"),calTotal!$E$16+(IF(calTotal!$E$18="None",calTotal!$E$21,calTotal!$E$20)*(H39*0.001)),calTotal!$E$89+(IF(calTotal!$E$91="None",calTotal!$E$94,calTotal!$E$93)*(H39*0.001)))</f>
        <v>111.34211007871819</v>
      </c>
      <c r="E40" s="92">
        <f>IF(OR(calTotal!$E$7="W80",calTotal!$E$7="Q100",calTotal!$E$7="Q144",calTotal!$E$7="F169",calTotal!$E$7="F256"),IF(calTotal!$E$9="Typical",IF(calTotal!$E$7="W80",(2.7909*EXP(0.0293*D40)/1.2),IF(OR(calTotal!$E$7="Q100",calTotal!$E$7="Q144"),(3.3892*EXP(0.0293*D40)/1.2),IF(calTotal!$E$7="F169",(2.7089*EXP(0.0293*D40)/1.2),IF(calTotal!$E$7="F256",(3.3892*EXP(0.0293*D40)/1.2),"Invalid")))),IF(calTotal!$E$9="Maximum",(7.2106*EXP(0.0293*D40)/1.2),"Invalid")),IF(OR(calTotal!$E$7="F324",calTotal!$E$7="F400"),IF(calTotal!$E$9="Typical",IF(calTotal!$E$7="F324",(19.1814*EXP(0.0181*D40)/1.2),IF(calTotal!$E$7="F400",(19.3955*EXP(0.0181*D40)/1.2),"Invalid")),IF(calTotal!$E$9="Maximum",(34.982*EXP(0.0181*D40)/1.2),"Invalid"))))</f>
        <v>73.743744689607169</v>
      </c>
      <c r="F40" s="98">
        <f>IF(OR(Package="F324",Package="F400"),E40*(calTotal!$G$31^2),E40*(calTotal!$G$104^2))</f>
        <v>106.19099235303432</v>
      </c>
      <c r="G40" s="98">
        <f>IF(calTotal!$G$39="-",0,IF(OR(calTotal!$E$11="Nominal",calTotal!$E$11="Maximum"),IF(AND(calTotal!$G$39&gt;=1.14,calTotal!$G$39&lt;=1.3),((10.144*EXP(0.0051*D40))*(calTotal!$G$39^2)),((28.333*EXP(0.002*D40))*(calTotal!$G$39^2))),IF(calTotal!$G$39=1.14,((10.144*EXP(0.0051*D40))*(calTotal!$G$39^2)),((28.333*EXP(0.002*D40))*(calTotal!$G$39^2)))))</f>
        <v>0</v>
      </c>
      <c r="H40" s="99">
        <f>IF(Package="F324",SUM(calTotal!$D$30:$D$36)+calTotal!$M$19+F40+G40+calTotal!$N$28,IF(Package="F400",SUM(calTotal!$D$30:$D$35)+calTotal!$M$19+F40+G40+calTotal!$N$28,IF(OR(Package="W80",Package="F169"),SUM(calTotal!$D$103:$D$109)+F40+calTotal!$N$90,SUM(calTotal!$D$103:$D$108)+F40+calTotal!$N$90)))</f>
        <v>1684.5433188383333</v>
      </c>
    </row>
    <row r="41" spans="3:8" x14ac:dyDescent="0.35">
      <c r="C41" s="96">
        <v>39</v>
      </c>
      <c r="D41" s="92">
        <f>IF(OR(Package="F324",Package="F400"),calTotal!$E$16+(IF(calTotal!$E$18="None",calTotal!$E$21,calTotal!$E$20)*(H40*0.001)),calTotal!$E$89+(IF(calTotal!$E$91="None",calTotal!$E$94,calTotal!$E$93)*(H40*0.001)))</f>
        <v>111.34211007871819</v>
      </c>
      <c r="E41" s="92">
        <f>IF(OR(calTotal!$E$7="W80",calTotal!$E$7="Q100",calTotal!$E$7="Q144",calTotal!$E$7="F169",calTotal!$E$7="F256"),IF(calTotal!$E$9="Typical",IF(calTotal!$E$7="W80",(2.7909*EXP(0.0293*D41)/1.2),IF(OR(calTotal!$E$7="Q100",calTotal!$E$7="Q144"),(3.3892*EXP(0.0293*D41)/1.2),IF(calTotal!$E$7="F169",(2.7089*EXP(0.0293*D41)/1.2),IF(calTotal!$E$7="F256",(3.3892*EXP(0.0293*D41)/1.2),"Invalid")))),IF(calTotal!$E$9="Maximum",(7.2106*EXP(0.0293*D41)/1.2),"Invalid")),IF(OR(calTotal!$E$7="F324",calTotal!$E$7="F400"),IF(calTotal!$E$9="Typical",IF(calTotal!$E$7="F324",(19.1814*EXP(0.0181*D41)/1.2),IF(calTotal!$E$7="F400",(19.3955*EXP(0.0181*D41)/1.2),"Invalid")),IF(calTotal!$E$9="Maximum",(34.982*EXP(0.0181*D41)/1.2),"Invalid"))))</f>
        <v>73.743744689607169</v>
      </c>
      <c r="F41" s="98">
        <f>IF(OR(Package="F324",Package="F400"),E41*(calTotal!$G$31^2),E41*(calTotal!$G$104^2))</f>
        <v>106.19099235303432</v>
      </c>
      <c r="G41" s="98">
        <f>IF(calTotal!$G$39="-",0,IF(OR(calTotal!$E$11="Nominal",calTotal!$E$11="Maximum"),IF(AND(calTotal!$G$39&gt;=1.14,calTotal!$G$39&lt;=1.3),((10.144*EXP(0.0051*D41))*(calTotal!$G$39^2)),((28.333*EXP(0.002*D41))*(calTotal!$G$39^2))),IF(calTotal!$G$39=1.14,((10.144*EXP(0.0051*D41))*(calTotal!$G$39^2)),((28.333*EXP(0.002*D41))*(calTotal!$G$39^2)))))</f>
        <v>0</v>
      </c>
      <c r="H41" s="99">
        <f>IF(Package="F324",SUM(calTotal!$D$30:$D$36)+calTotal!$M$19+F41+G41+calTotal!$N$28,IF(Package="F400",SUM(calTotal!$D$30:$D$35)+calTotal!$M$19+F41+G41+calTotal!$N$28,IF(OR(Package="W80",Package="F169"),SUM(calTotal!$D$103:$D$109)+F41+calTotal!$N$90,SUM(calTotal!$D$103:$D$108)+F41+calTotal!$N$90)))</f>
        <v>1684.5433188383333</v>
      </c>
    </row>
    <row r="42" spans="3:8" x14ac:dyDescent="0.35">
      <c r="C42" s="96">
        <v>40</v>
      </c>
      <c r="D42" s="92">
        <f>IF(OR(Package="F324",Package="F400"),calTotal!$E$16+(IF(calTotal!$E$18="None",calTotal!$E$21,calTotal!$E$20)*(H41*0.001)),calTotal!$E$89+(IF(calTotal!$E$91="None",calTotal!$E$94,calTotal!$E$93)*(H41*0.001)))</f>
        <v>111.34211007871819</v>
      </c>
      <c r="E42" s="92">
        <f>IF(OR(calTotal!$E$7="W80",calTotal!$E$7="Q100",calTotal!$E$7="Q144",calTotal!$E$7="F169",calTotal!$E$7="F256"),IF(calTotal!$E$9="Typical",IF(calTotal!$E$7="W80",(2.7909*EXP(0.0293*D42)/1.2),IF(OR(calTotal!$E$7="Q100",calTotal!$E$7="Q144"),(3.3892*EXP(0.0293*D42)/1.2),IF(calTotal!$E$7="F169",(2.7089*EXP(0.0293*D42)/1.2),IF(calTotal!$E$7="F256",(3.3892*EXP(0.0293*D42)/1.2),"Invalid")))),IF(calTotal!$E$9="Maximum",(7.2106*EXP(0.0293*D42)/1.2),"Invalid")),IF(OR(calTotal!$E$7="F324",calTotal!$E$7="F400"),IF(calTotal!$E$9="Typical",IF(calTotal!$E$7="F324",(19.1814*EXP(0.0181*D42)/1.2),IF(calTotal!$E$7="F400",(19.3955*EXP(0.0181*D42)/1.2),"Invalid")),IF(calTotal!$E$9="Maximum",(34.982*EXP(0.0181*D42)/1.2),"Invalid"))))</f>
        <v>73.743744689607169</v>
      </c>
      <c r="F42" s="98">
        <f>IF(OR(Package="F324",Package="F400"),E42*(calTotal!$G$31^2),E42*(calTotal!$G$104^2))</f>
        <v>106.19099235303432</v>
      </c>
      <c r="G42" s="98">
        <f>IF(calTotal!$G$39="-",0,IF(OR(calTotal!$E$11="Nominal",calTotal!$E$11="Maximum"),IF(AND(calTotal!$G$39&gt;=1.14,calTotal!$G$39&lt;=1.3),((10.144*EXP(0.0051*D42))*(calTotal!$G$39^2)),((28.333*EXP(0.002*D42))*(calTotal!$G$39^2))),IF(calTotal!$G$39=1.14,((10.144*EXP(0.0051*D42))*(calTotal!$G$39^2)),((28.333*EXP(0.002*D42))*(calTotal!$G$39^2)))))</f>
        <v>0</v>
      </c>
      <c r="H42" s="99">
        <f>IF(Package="F324",SUM(calTotal!$D$30:$D$36)+calTotal!$M$19+F42+G42+calTotal!$N$28,IF(Package="F400",SUM(calTotal!$D$30:$D$35)+calTotal!$M$19+F42+G42+calTotal!$N$28,IF(OR(Package="W80",Package="F169"),SUM(calTotal!$D$103:$D$109)+F42+calTotal!$N$90,SUM(calTotal!$D$103:$D$108)+F42+calTotal!$N$90)))</f>
        <v>1684.5433188383333</v>
      </c>
    </row>
    <row r="43" spans="3:8" x14ac:dyDescent="0.35">
      <c r="C43" s="96">
        <v>41</v>
      </c>
      <c r="D43" s="92">
        <f>IF(OR(Package="F324",Package="F400"),calTotal!$E$16+(IF(calTotal!$E$18="None",calTotal!$E$21,calTotal!$E$20)*(H42*0.001)),calTotal!$E$89+(IF(calTotal!$E$91="None",calTotal!$E$94,calTotal!$E$93)*(H42*0.001)))</f>
        <v>111.34211007871819</v>
      </c>
      <c r="E43" s="92">
        <f>IF(OR(calTotal!$E$7="W80",calTotal!$E$7="Q100",calTotal!$E$7="Q144",calTotal!$E$7="F169",calTotal!$E$7="F256"),IF(calTotal!$E$9="Typical",IF(calTotal!$E$7="W80",(2.7909*EXP(0.0293*D43)/1.2),IF(OR(calTotal!$E$7="Q100",calTotal!$E$7="Q144"),(3.3892*EXP(0.0293*D43)/1.2),IF(calTotal!$E$7="F169",(2.7089*EXP(0.0293*D43)/1.2),IF(calTotal!$E$7="F256",(3.3892*EXP(0.0293*D43)/1.2),"Invalid")))),IF(calTotal!$E$9="Maximum",(7.2106*EXP(0.0293*D43)/1.2),"Invalid")),IF(OR(calTotal!$E$7="F324",calTotal!$E$7="F400"),IF(calTotal!$E$9="Typical",IF(calTotal!$E$7="F324",(19.1814*EXP(0.0181*D43)/1.2),IF(calTotal!$E$7="F400",(19.3955*EXP(0.0181*D43)/1.2),"Invalid")),IF(calTotal!$E$9="Maximum",(34.982*EXP(0.0181*D43)/1.2),"Invalid"))))</f>
        <v>73.743744689607169</v>
      </c>
      <c r="F43" s="98">
        <f>IF(OR(Package="F324",Package="F400"),E43*(calTotal!$G$31^2),E43*(calTotal!$G$104^2))</f>
        <v>106.19099235303432</v>
      </c>
      <c r="G43" s="98">
        <f>IF(calTotal!$G$39="-",0,IF(OR(calTotal!$E$11="Nominal",calTotal!$E$11="Maximum"),IF(AND(calTotal!$G$39&gt;=1.14,calTotal!$G$39&lt;=1.3),((10.144*EXP(0.0051*D43))*(calTotal!$G$39^2)),((28.333*EXP(0.002*D43))*(calTotal!$G$39^2))),IF(calTotal!$G$39=1.14,((10.144*EXP(0.0051*D43))*(calTotal!$G$39^2)),((28.333*EXP(0.002*D43))*(calTotal!$G$39^2)))))</f>
        <v>0</v>
      </c>
      <c r="H43" s="99">
        <f>IF(Package="F324",SUM(calTotal!$D$30:$D$36)+calTotal!$M$19+F43+G43+calTotal!$N$28,IF(Package="F400",SUM(calTotal!$D$30:$D$35)+calTotal!$M$19+F43+G43+calTotal!$N$28,IF(OR(Package="W80",Package="F169"),SUM(calTotal!$D$103:$D$109)+F43+calTotal!$N$90,SUM(calTotal!$D$103:$D$108)+F43+calTotal!$N$90)))</f>
        <v>1684.5433188383333</v>
      </c>
    </row>
    <row r="44" spans="3:8" x14ac:dyDescent="0.35">
      <c r="C44" s="96">
        <v>42</v>
      </c>
      <c r="D44" s="92">
        <f>IF(OR(Package="F324",Package="F400"),calTotal!$E$16+(IF(calTotal!$E$18="None",calTotal!$E$21,calTotal!$E$20)*(H43*0.001)),calTotal!$E$89+(IF(calTotal!$E$91="None",calTotal!$E$94,calTotal!$E$93)*(H43*0.001)))</f>
        <v>111.34211007871819</v>
      </c>
      <c r="E44" s="92">
        <f>IF(OR(calTotal!$E$7="W80",calTotal!$E$7="Q100",calTotal!$E$7="Q144",calTotal!$E$7="F169",calTotal!$E$7="F256"),IF(calTotal!$E$9="Typical",IF(calTotal!$E$7="W80",(2.7909*EXP(0.0293*D44)/1.2),IF(OR(calTotal!$E$7="Q100",calTotal!$E$7="Q144"),(3.3892*EXP(0.0293*D44)/1.2),IF(calTotal!$E$7="F169",(2.7089*EXP(0.0293*D44)/1.2),IF(calTotal!$E$7="F256",(3.3892*EXP(0.0293*D44)/1.2),"Invalid")))),IF(calTotal!$E$9="Maximum",(7.2106*EXP(0.0293*D44)/1.2),"Invalid")),IF(OR(calTotal!$E$7="F324",calTotal!$E$7="F400"),IF(calTotal!$E$9="Typical",IF(calTotal!$E$7="F324",(19.1814*EXP(0.0181*D44)/1.2),IF(calTotal!$E$7="F400",(19.3955*EXP(0.0181*D44)/1.2),"Invalid")),IF(calTotal!$E$9="Maximum",(34.982*EXP(0.0181*D44)/1.2),"Invalid"))))</f>
        <v>73.743744689607169</v>
      </c>
      <c r="F44" s="98">
        <f>IF(OR(Package="F324",Package="F400"),E44*(calTotal!$G$31^2),E44*(calTotal!$G$104^2))</f>
        <v>106.19099235303432</v>
      </c>
      <c r="G44" s="98">
        <f>IF(calTotal!$G$39="-",0,IF(OR(calTotal!$E$11="Nominal",calTotal!$E$11="Maximum"),IF(AND(calTotal!$G$39&gt;=1.14,calTotal!$G$39&lt;=1.3),((10.144*EXP(0.0051*D44))*(calTotal!$G$39^2)),((28.333*EXP(0.002*D44))*(calTotal!$G$39^2))),IF(calTotal!$G$39=1.14,((10.144*EXP(0.0051*D44))*(calTotal!$G$39^2)),((28.333*EXP(0.002*D44))*(calTotal!$G$39^2)))))</f>
        <v>0</v>
      </c>
      <c r="H44" s="99">
        <f>IF(Package="F324",SUM(calTotal!$D$30:$D$36)+calTotal!$M$19+F44+G44+calTotal!$N$28,IF(Package="F400",SUM(calTotal!$D$30:$D$35)+calTotal!$M$19+F44+G44+calTotal!$N$28,IF(OR(Package="W80",Package="F169"),SUM(calTotal!$D$103:$D$109)+F44+calTotal!$N$90,SUM(calTotal!$D$103:$D$108)+F44+calTotal!$N$90)))</f>
        <v>1684.5433188383333</v>
      </c>
    </row>
    <row r="45" spans="3:8" x14ac:dyDescent="0.35">
      <c r="C45" s="96">
        <v>43</v>
      </c>
      <c r="D45" s="92">
        <f>IF(OR(Package="F324",Package="F400"),calTotal!$E$16+(IF(calTotal!$E$18="None",calTotal!$E$21,calTotal!$E$20)*(H44*0.001)),calTotal!$E$89+(IF(calTotal!$E$91="None",calTotal!$E$94,calTotal!$E$93)*(H44*0.001)))</f>
        <v>111.34211007871819</v>
      </c>
      <c r="E45" s="92">
        <f>IF(OR(calTotal!$E$7="W80",calTotal!$E$7="Q100",calTotal!$E$7="Q144",calTotal!$E$7="F169",calTotal!$E$7="F256"),IF(calTotal!$E$9="Typical",IF(calTotal!$E$7="W80",(2.7909*EXP(0.0293*D45)/1.2),IF(OR(calTotal!$E$7="Q100",calTotal!$E$7="Q144"),(3.3892*EXP(0.0293*D45)/1.2),IF(calTotal!$E$7="F169",(2.7089*EXP(0.0293*D45)/1.2),IF(calTotal!$E$7="F256",(3.3892*EXP(0.0293*D45)/1.2),"Invalid")))),IF(calTotal!$E$9="Maximum",(7.2106*EXP(0.0293*D45)/1.2),"Invalid")),IF(OR(calTotal!$E$7="F324",calTotal!$E$7="F400"),IF(calTotal!$E$9="Typical",IF(calTotal!$E$7="F324",(19.1814*EXP(0.0181*D45)/1.2),IF(calTotal!$E$7="F400",(19.3955*EXP(0.0181*D45)/1.2),"Invalid")),IF(calTotal!$E$9="Maximum",(34.982*EXP(0.0181*D45)/1.2),"Invalid"))))</f>
        <v>73.743744689607169</v>
      </c>
      <c r="F45" s="98">
        <f>IF(OR(Package="F324",Package="F400"),E45*(calTotal!$G$31^2),E45*(calTotal!$G$104^2))</f>
        <v>106.19099235303432</v>
      </c>
      <c r="G45" s="98">
        <f>IF(calTotal!$G$39="-",0,IF(OR(calTotal!$E$11="Nominal",calTotal!$E$11="Maximum"),IF(AND(calTotal!$G$39&gt;=1.14,calTotal!$G$39&lt;=1.3),((10.144*EXP(0.0051*D45))*(calTotal!$G$39^2)),((28.333*EXP(0.002*D45))*(calTotal!$G$39^2))),IF(calTotal!$G$39=1.14,((10.144*EXP(0.0051*D45))*(calTotal!$G$39^2)),((28.333*EXP(0.002*D45))*(calTotal!$G$39^2)))))</f>
        <v>0</v>
      </c>
      <c r="H45" s="99">
        <f>IF(Package="F324",SUM(calTotal!$D$30:$D$36)+calTotal!$M$19+F45+G45+calTotal!$N$28,IF(Package="F400",SUM(calTotal!$D$30:$D$35)+calTotal!$M$19+F45+G45+calTotal!$N$28,IF(OR(Package="W80",Package="F169"),SUM(calTotal!$D$103:$D$109)+F45+calTotal!$N$90,SUM(calTotal!$D$103:$D$108)+F45+calTotal!$N$90)))</f>
        <v>1684.5433188383333</v>
      </c>
    </row>
    <row r="46" spans="3:8" x14ac:dyDescent="0.35">
      <c r="C46" s="96">
        <v>44</v>
      </c>
      <c r="D46" s="92">
        <f>IF(OR(Package="F324",Package="F400"),calTotal!$E$16+(IF(calTotal!$E$18="None",calTotal!$E$21,calTotal!$E$20)*(H45*0.001)),calTotal!$E$89+(IF(calTotal!$E$91="None",calTotal!$E$94,calTotal!$E$93)*(H45*0.001)))</f>
        <v>111.34211007871819</v>
      </c>
      <c r="E46" s="92">
        <f>IF(OR(calTotal!$E$7="W80",calTotal!$E$7="Q100",calTotal!$E$7="Q144",calTotal!$E$7="F169",calTotal!$E$7="F256"),IF(calTotal!$E$9="Typical",IF(calTotal!$E$7="W80",(2.7909*EXP(0.0293*D46)/1.2),IF(OR(calTotal!$E$7="Q100",calTotal!$E$7="Q144"),(3.3892*EXP(0.0293*D46)/1.2),IF(calTotal!$E$7="F169",(2.7089*EXP(0.0293*D46)/1.2),IF(calTotal!$E$7="F256",(3.3892*EXP(0.0293*D46)/1.2),"Invalid")))),IF(calTotal!$E$9="Maximum",(7.2106*EXP(0.0293*D46)/1.2),"Invalid")),IF(OR(calTotal!$E$7="F324",calTotal!$E$7="F400"),IF(calTotal!$E$9="Typical",IF(calTotal!$E$7="F324",(19.1814*EXP(0.0181*D46)/1.2),IF(calTotal!$E$7="F400",(19.3955*EXP(0.0181*D46)/1.2),"Invalid")),IF(calTotal!$E$9="Maximum",(34.982*EXP(0.0181*D46)/1.2),"Invalid"))))</f>
        <v>73.743744689607169</v>
      </c>
      <c r="F46" s="98">
        <f>IF(OR(Package="F324",Package="F400"),E46*(calTotal!$G$31^2),E46*(calTotal!$G$104^2))</f>
        <v>106.19099235303432</v>
      </c>
      <c r="G46" s="98">
        <f>IF(calTotal!$G$39="-",0,IF(OR(calTotal!$E$11="Nominal",calTotal!$E$11="Maximum"),IF(AND(calTotal!$G$39&gt;=1.14,calTotal!$G$39&lt;=1.3),((10.144*EXP(0.0051*D46))*(calTotal!$G$39^2)),((28.333*EXP(0.002*D46))*(calTotal!$G$39^2))),IF(calTotal!$G$39=1.14,((10.144*EXP(0.0051*D46))*(calTotal!$G$39^2)),((28.333*EXP(0.002*D46))*(calTotal!$G$39^2)))))</f>
        <v>0</v>
      </c>
      <c r="H46" s="99">
        <f>IF(Package="F324",SUM(calTotal!$D$30:$D$36)+calTotal!$M$19+F46+G46+calTotal!$N$28,IF(Package="F400",SUM(calTotal!$D$30:$D$35)+calTotal!$M$19+F46+G46+calTotal!$N$28,IF(OR(Package="W80",Package="F169"),SUM(calTotal!$D$103:$D$109)+F46+calTotal!$N$90,SUM(calTotal!$D$103:$D$108)+F46+calTotal!$N$90)))</f>
        <v>1684.5433188383333</v>
      </c>
    </row>
    <row r="47" spans="3:8" x14ac:dyDescent="0.35">
      <c r="C47" s="96">
        <v>45</v>
      </c>
      <c r="D47" s="92">
        <f>IF(OR(Package="F324",Package="F400"),calTotal!$E$16+(IF(calTotal!$E$18="None",calTotal!$E$21,calTotal!$E$20)*(H46*0.001)),calTotal!$E$89+(IF(calTotal!$E$91="None",calTotal!$E$94,calTotal!$E$93)*(H46*0.001)))</f>
        <v>111.34211007871819</v>
      </c>
      <c r="E47" s="92">
        <f>IF(OR(calTotal!$E$7="W80",calTotal!$E$7="Q100",calTotal!$E$7="Q144",calTotal!$E$7="F169",calTotal!$E$7="F256"),IF(calTotal!$E$9="Typical",IF(calTotal!$E$7="W80",(2.7909*EXP(0.0293*D47)/1.2),IF(OR(calTotal!$E$7="Q100",calTotal!$E$7="Q144"),(3.3892*EXP(0.0293*D47)/1.2),IF(calTotal!$E$7="F169",(2.7089*EXP(0.0293*D47)/1.2),IF(calTotal!$E$7="F256",(3.3892*EXP(0.0293*D47)/1.2),"Invalid")))),IF(calTotal!$E$9="Maximum",(7.2106*EXP(0.0293*D47)/1.2),"Invalid")),IF(OR(calTotal!$E$7="F324",calTotal!$E$7="F400"),IF(calTotal!$E$9="Typical",IF(calTotal!$E$7="F324",(19.1814*EXP(0.0181*D47)/1.2),IF(calTotal!$E$7="F400",(19.3955*EXP(0.0181*D47)/1.2),"Invalid")),IF(calTotal!$E$9="Maximum",(34.982*EXP(0.0181*D47)/1.2),"Invalid"))))</f>
        <v>73.743744689607169</v>
      </c>
      <c r="F47" s="98">
        <f>IF(OR(Package="F324",Package="F400"),E47*(calTotal!$G$31^2),E47*(calTotal!$G$104^2))</f>
        <v>106.19099235303432</v>
      </c>
      <c r="G47" s="98">
        <f>IF(calTotal!$G$39="-",0,IF(OR(calTotal!$E$11="Nominal",calTotal!$E$11="Maximum"),IF(AND(calTotal!$G$39&gt;=1.14,calTotal!$G$39&lt;=1.3),((10.144*EXP(0.0051*D47))*(calTotal!$G$39^2)),((28.333*EXP(0.002*D47))*(calTotal!$G$39^2))),IF(calTotal!$G$39=1.14,((10.144*EXP(0.0051*D47))*(calTotal!$G$39^2)),((28.333*EXP(0.002*D47))*(calTotal!$G$39^2)))))</f>
        <v>0</v>
      </c>
      <c r="H47" s="99">
        <f>IF(Package="F324",SUM(calTotal!$D$30:$D$36)+calTotal!$M$19+F47+G47+calTotal!$N$28,IF(Package="F400",SUM(calTotal!$D$30:$D$35)+calTotal!$M$19+F47+G47+calTotal!$N$28,IF(OR(Package="W80",Package="F169"),SUM(calTotal!$D$103:$D$109)+F47+calTotal!$N$90,SUM(calTotal!$D$103:$D$108)+F47+calTotal!$N$90)))</f>
        <v>1684.5433188383333</v>
      </c>
    </row>
    <row r="48" spans="3:8" x14ac:dyDescent="0.35">
      <c r="C48" s="96">
        <v>46</v>
      </c>
      <c r="D48" s="92">
        <f>IF(OR(Package="F324",Package="F400"),calTotal!$E$16+(IF(calTotal!$E$18="None",calTotal!$E$21,calTotal!$E$20)*(H47*0.001)),calTotal!$E$89+(IF(calTotal!$E$91="None",calTotal!$E$94,calTotal!$E$93)*(H47*0.001)))</f>
        <v>111.34211007871819</v>
      </c>
      <c r="E48" s="92">
        <f>IF(OR(calTotal!$E$7="W80",calTotal!$E$7="Q100",calTotal!$E$7="Q144",calTotal!$E$7="F169",calTotal!$E$7="F256"),IF(calTotal!$E$9="Typical",IF(calTotal!$E$7="W80",(2.7909*EXP(0.0293*D48)/1.2),IF(OR(calTotal!$E$7="Q100",calTotal!$E$7="Q144"),(3.3892*EXP(0.0293*D48)/1.2),IF(calTotal!$E$7="F169",(2.7089*EXP(0.0293*D48)/1.2),IF(calTotal!$E$7="F256",(3.3892*EXP(0.0293*D48)/1.2),"Invalid")))),IF(calTotal!$E$9="Maximum",(7.2106*EXP(0.0293*D48)/1.2),"Invalid")),IF(OR(calTotal!$E$7="F324",calTotal!$E$7="F400"),IF(calTotal!$E$9="Typical",IF(calTotal!$E$7="F324",(19.1814*EXP(0.0181*D48)/1.2),IF(calTotal!$E$7="F400",(19.3955*EXP(0.0181*D48)/1.2),"Invalid")),IF(calTotal!$E$9="Maximum",(34.982*EXP(0.0181*D48)/1.2),"Invalid"))))</f>
        <v>73.743744689607169</v>
      </c>
      <c r="F48" s="98">
        <f>IF(OR(Package="F324",Package="F400"),E48*(calTotal!$G$31^2),E48*(calTotal!$G$104^2))</f>
        <v>106.19099235303432</v>
      </c>
      <c r="G48" s="98">
        <f>IF(calTotal!$G$39="-",0,IF(OR(calTotal!$E$11="Nominal",calTotal!$E$11="Maximum"),IF(AND(calTotal!$G$39&gt;=1.14,calTotal!$G$39&lt;=1.3),((10.144*EXP(0.0051*D48))*(calTotal!$G$39^2)),((28.333*EXP(0.002*D48))*(calTotal!$G$39^2))),IF(calTotal!$G$39=1.14,((10.144*EXP(0.0051*D48))*(calTotal!$G$39^2)),((28.333*EXP(0.002*D48))*(calTotal!$G$39^2)))))</f>
        <v>0</v>
      </c>
      <c r="H48" s="99">
        <f>IF(Package="F324",SUM(calTotal!$D$30:$D$36)+calTotal!$M$19+F48+G48+calTotal!$N$28,IF(Package="F400",SUM(calTotal!$D$30:$D$35)+calTotal!$M$19+F48+G48+calTotal!$N$28,IF(OR(Package="W80",Package="F169"),SUM(calTotal!$D$103:$D$109)+F48+calTotal!$N$90,SUM(calTotal!$D$103:$D$108)+F48+calTotal!$N$90)))</f>
        <v>1684.5433188383333</v>
      </c>
    </row>
    <row r="49" spans="3:8" x14ac:dyDescent="0.35">
      <c r="C49" s="96">
        <v>47</v>
      </c>
      <c r="D49" s="92">
        <f>IF(OR(Package="F324",Package="F400"),calTotal!$E$16+(IF(calTotal!$E$18="None",calTotal!$E$21,calTotal!$E$20)*(H48*0.001)),calTotal!$E$89+(IF(calTotal!$E$91="None",calTotal!$E$94,calTotal!$E$93)*(H48*0.001)))</f>
        <v>111.34211007871819</v>
      </c>
      <c r="E49" s="92">
        <f>IF(OR(calTotal!$E$7="W80",calTotal!$E$7="Q100",calTotal!$E$7="Q144",calTotal!$E$7="F169",calTotal!$E$7="F256"),IF(calTotal!$E$9="Typical",IF(calTotal!$E$7="W80",(2.7909*EXP(0.0293*D49)/1.2),IF(OR(calTotal!$E$7="Q100",calTotal!$E$7="Q144"),(3.3892*EXP(0.0293*D49)/1.2),IF(calTotal!$E$7="F169",(2.7089*EXP(0.0293*D49)/1.2),IF(calTotal!$E$7="F256",(3.3892*EXP(0.0293*D49)/1.2),"Invalid")))),IF(calTotal!$E$9="Maximum",(7.2106*EXP(0.0293*D49)/1.2),"Invalid")),IF(OR(calTotal!$E$7="F324",calTotal!$E$7="F400"),IF(calTotal!$E$9="Typical",IF(calTotal!$E$7="F324",(19.1814*EXP(0.0181*D49)/1.2),IF(calTotal!$E$7="F400",(19.3955*EXP(0.0181*D49)/1.2),"Invalid")),IF(calTotal!$E$9="Maximum",(34.982*EXP(0.0181*D49)/1.2),"Invalid"))))</f>
        <v>73.743744689607169</v>
      </c>
      <c r="F49" s="98">
        <f>IF(OR(Package="F324",Package="F400"),E49*(calTotal!$G$31^2),E49*(calTotal!$G$104^2))</f>
        <v>106.19099235303432</v>
      </c>
      <c r="G49" s="98">
        <f>IF(calTotal!$G$39="-",0,IF(OR(calTotal!$E$11="Nominal",calTotal!$E$11="Maximum"),IF(AND(calTotal!$G$39&gt;=1.14,calTotal!$G$39&lt;=1.3),((10.144*EXP(0.0051*D49))*(calTotal!$G$39^2)),((28.333*EXP(0.002*D49))*(calTotal!$G$39^2))),IF(calTotal!$G$39=1.14,((10.144*EXP(0.0051*D49))*(calTotal!$G$39^2)),((28.333*EXP(0.002*D49))*(calTotal!$G$39^2)))))</f>
        <v>0</v>
      </c>
      <c r="H49" s="99">
        <f>IF(Package="F324",SUM(calTotal!$D$30:$D$36)+calTotal!$M$19+F49+G49+calTotal!$N$28,IF(Package="F400",SUM(calTotal!$D$30:$D$35)+calTotal!$M$19+F49+G49+calTotal!$N$28,IF(OR(Package="W80",Package="F169"),SUM(calTotal!$D$103:$D$109)+F49+calTotal!$N$90,SUM(calTotal!$D$103:$D$108)+F49+calTotal!$N$90)))</f>
        <v>1684.5433188383333</v>
      </c>
    </row>
    <row r="50" spans="3:8" x14ac:dyDescent="0.35">
      <c r="C50" s="96">
        <v>48</v>
      </c>
      <c r="D50" s="92">
        <f>IF(OR(Package="F324",Package="F400"),calTotal!$E$16+(IF(calTotal!$E$18="None",calTotal!$E$21,calTotal!$E$20)*(H49*0.001)),calTotal!$E$89+(IF(calTotal!$E$91="None",calTotal!$E$94,calTotal!$E$93)*(H49*0.001)))</f>
        <v>111.34211007871819</v>
      </c>
      <c r="E50" s="92">
        <f>IF(OR(calTotal!$E$7="W80",calTotal!$E$7="Q100",calTotal!$E$7="Q144",calTotal!$E$7="F169",calTotal!$E$7="F256"),IF(calTotal!$E$9="Typical",IF(calTotal!$E$7="W80",(2.7909*EXP(0.0293*D50)/1.2),IF(OR(calTotal!$E$7="Q100",calTotal!$E$7="Q144"),(3.3892*EXP(0.0293*D50)/1.2),IF(calTotal!$E$7="F169",(2.7089*EXP(0.0293*D50)/1.2),IF(calTotal!$E$7="F256",(3.3892*EXP(0.0293*D50)/1.2),"Invalid")))),IF(calTotal!$E$9="Maximum",(7.2106*EXP(0.0293*D50)/1.2),"Invalid")),IF(OR(calTotal!$E$7="F324",calTotal!$E$7="F400"),IF(calTotal!$E$9="Typical",IF(calTotal!$E$7="F324",(19.1814*EXP(0.0181*D50)/1.2),IF(calTotal!$E$7="F400",(19.3955*EXP(0.0181*D50)/1.2),"Invalid")),IF(calTotal!$E$9="Maximum",(34.982*EXP(0.0181*D50)/1.2),"Invalid"))))</f>
        <v>73.743744689607169</v>
      </c>
      <c r="F50" s="98">
        <f>IF(OR(Package="F324",Package="F400"),E50*(calTotal!$G$31^2),E50*(calTotal!$G$104^2))</f>
        <v>106.19099235303432</v>
      </c>
      <c r="G50" s="98">
        <f>IF(calTotal!$G$39="-",0,IF(OR(calTotal!$E$11="Nominal",calTotal!$E$11="Maximum"),IF(AND(calTotal!$G$39&gt;=1.14,calTotal!$G$39&lt;=1.3),((10.144*EXP(0.0051*D50))*(calTotal!$G$39^2)),((28.333*EXP(0.002*D50))*(calTotal!$G$39^2))),IF(calTotal!$G$39=1.14,((10.144*EXP(0.0051*D50))*(calTotal!$G$39^2)),((28.333*EXP(0.002*D50))*(calTotal!$G$39^2)))))</f>
        <v>0</v>
      </c>
      <c r="H50" s="99">
        <f>IF(Package="F324",SUM(calTotal!$D$30:$D$36)+calTotal!$M$19+F50+G50+calTotal!$N$28,IF(Package="F400",SUM(calTotal!$D$30:$D$35)+calTotal!$M$19+F50+G50+calTotal!$N$28,IF(OR(Package="W80",Package="F169"),SUM(calTotal!$D$103:$D$109)+F50+calTotal!$N$90,SUM(calTotal!$D$103:$D$108)+F50+calTotal!$N$90)))</f>
        <v>1684.5433188383333</v>
      </c>
    </row>
    <row r="51" spans="3:8" x14ac:dyDescent="0.35">
      <c r="C51" s="96">
        <v>49</v>
      </c>
      <c r="D51" s="92">
        <f>IF(OR(Package="F324",Package="F400"),calTotal!$E$16+(IF(calTotal!$E$18="None",calTotal!$E$21,calTotal!$E$20)*(H50*0.001)),calTotal!$E$89+(IF(calTotal!$E$91="None",calTotal!$E$94,calTotal!$E$93)*(H50*0.001)))</f>
        <v>111.34211007871819</v>
      </c>
      <c r="E51" s="92">
        <f>IF(OR(calTotal!$E$7="W80",calTotal!$E$7="Q100",calTotal!$E$7="Q144",calTotal!$E$7="F169",calTotal!$E$7="F256"),IF(calTotal!$E$9="Typical",IF(calTotal!$E$7="W80",(2.7909*EXP(0.0293*D51)/1.2),IF(OR(calTotal!$E$7="Q100",calTotal!$E$7="Q144"),(3.3892*EXP(0.0293*D51)/1.2),IF(calTotal!$E$7="F169",(2.7089*EXP(0.0293*D51)/1.2),IF(calTotal!$E$7="F256",(3.3892*EXP(0.0293*D51)/1.2),"Invalid")))),IF(calTotal!$E$9="Maximum",(7.2106*EXP(0.0293*D51)/1.2),"Invalid")),IF(OR(calTotal!$E$7="F324",calTotal!$E$7="F400"),IF(calTotal!$E$9="Typical",IF(calTotal!$E$7="F324",(19.1814*EXP(0.0181*D51)/1.2),IF(calTotal!$E$7="F400",(19.3955*EXP(0.0181*D51)/1.2),"Invalid")),IF(calTotal!$E$9="Maximum",(34.982*EXP(0.0181*D51)/1.2),"Invalid"))))</f>
        <v>73.743744689607169</v>
      </c>
      <c r="F51" s="98">
        <f>IF(OR(Package="F324",Package="F400"),E51*(calTotal!$G$31^2),E51*(calTotal!$G$104^2))</f>
        <v>106.19099235303432</v>
      </c>
      <c r="G51" s="98">
        <f>IF(calTotal!$G$39="-",0,IF(OR(calTotal!$E$11="Nominal",calTotal!$E$11="Maximum"),IF(AND(calTotal!$G$39&gt;=1.14,calTotal!$G$39&lt;=1.3),((10.144*EXP(0.0051*D51))*(calTotal!$G$39^2)),((28.333*EXP(0.002*D51))*(calTotal!$G$39^2))),IF(calTotal!$G$39=1.14,((10.144*EXP(0.0051*D51))*(calTotal!$G$39^2)),((28.333*EXP(0.002*D51))*(calTotal!$G$39^2)))))</f>
        <v>0</v>
      </c>
      <c r="H51" s="99">
        <f>IF(Package="F324",SUM(calTotal!$D$30:$D$36)+calTotal!$M$19+F51+G51+calTotal!$N$28,IF(Package="F400",SUM(calTotal!$D$30:$D$35)+calTotal!$M$19+F51+G51+calTotal!$N$28,IF(OR(Package="W80",Package="F169"),SUM(calTotal!$D$103:$D$109)+F51+calTotal!$N$90,SUM(calTotal!$D$103:$D$108)+F51+calTotal!$N$90)))</f>
        <v>1684.5433188383333</v>
      </c>
    </row>
    <row r="52" spans="3:8" x14ac:dyDescent="0.35">
      <c r="C52" s="96">
        <v>50</v>
      </c>
      <c r="D52" s="92">
        <f>IF(OR(Package="F324",Package="F400"),calTotal!$E$16+(IF(calTotal!$E$18="None",calTotal!$E$21,calTotal!$E$20)*(H51*0.001)),calTotal!$E$89+(IF(calTotal!$E$91="None",calTotal!$E$94,calTotal!$E$93)*(H51*0.001)))</f>
        <v>111.34211007871819</v>
      </c>
      <c r="E52" s="92">
        <f>IF(OR(calTotal!$E$7="W80",calTotal!$E$7="Q100",calTotal!$E$7="Q144",calTotal!$E$7="F169",calTotal!$E$7="F256"),IF(calTotal!$E$9="Typical",IF(calTotal!$E$7="W80",(2.7909*EXP(0.0293*D52)/1.2),IF(OR(calTotal!$E$7="Q100",calTotal!$E$7="Q144"),(3.3892*EXP(0.0293*D52)/1.2),IF(calTotal!$E$7="F169",(2.7089*EXP(0.0293*D52)/1.2),IF(calTotal!$E$7="F256",(3.3892*EXP(0.0293*D52)/1.2),"Invalid")))),IF(calTotal!$E$9="Maximum",(7.2106*EXP(0.0293*D52)/1.2),"Invalid")),IF(OR(calTotal!$E$7="F324",calTotal!$E$7="F400"),IF(calTotal!$E$9="Typical",IF(calTotal!$E$7="F324",(19.1814*EXP(0.0181*D52)/1.2),IF(calTotal!$E$7="F400",(19.3955*EXP(0.0181*D52)/1.2),"Invalid")),IF(calTotal!$E$9="Maximum",(34.982*EXP(0.0181*D52)/1.2),"Invalid"))))</f>
        <v>73.743744689607169</v>
      </c>
      <c r="F52" s="98">
        <f>IF(OR(Package="F324",Package="F400"),E52*(calTotal!$G$31^2),E52*(calTotal!$G$104^2))</f>
        <v>106.19099235303432</v>
      </c>
      <c r="G52" s="98">
        <f>IF(calTotal!$G$39="-",0,IF(OR(calTotal!$E$11="Nominal",calTotal!$E$11="Maximum"),IF(AND(calTotal!$G$39&gt;=1.14,calTotal!$G$39&lt;=1.3),((10.144*EXP(0.0051*D52))*(calTotal!$G$39^2)),((28.333*EXP(0.002*D52))*(calTotal!$G$39^2))),IF(calTotal!$G$39=1.14,((10.144*EXP(0.0051*D52))*(calTotal!$G$39^2)),((28.333*EXP(0.002*D52))*(calTotal!$G$39^2)))))</f>
        <v>0</v>
      </c>
      <c r="H52" s="99">
        <f>IF(Package="F324",SUM(calTotal!$D$30:$D$36)+calTotal!$M$19+F52+G52+calTotal!$N$28,IF(Package="F400",SUM(calTotal!$D$30:$D$35)+calTotal!$M$19+F52+G52+calTotal!$N$28,IF(OR(Package="W80",Package="F169"),SUM(calTotal!$D$103:$D$109)+F52+calTotal!$N$90,SUM(calTotal!$D$103:$D$108)+F52+calTotal!$N$90)))</f>
        <v>1684.5433188383333</v>
      </c>
    </row>
    <row r="53" spans="3:8" x14ac:dyDescent="0.35">
      <c r="C53" s="96">
        <v>51</v>
      </c>
      <c r="D53" s="92">
        <f>IF(OR(Package="F324",Package="F400"),calTotal!$E$16+(IF(calTotal!$E$18="None",calTotal!$E$21,calTotal!$E$20)*(H52*0.001)),calTotal!$E$89+(IF(calTotal!$E$91="None",calTotal!$E$94,calTotal!$E$93)*(H52*0.001)))</f>
        <v>111.34211007871819</v>
      </c>
      <c r="E53" s="92">
        <f>IF(OR(calTotal!$E$7="W80",calTotal!$E$7="Q100",calTotal!$E$7="Q144",calTotal!$E$7="F169",calTotal!$E$7="F256"),IF(calTotal!$E$9="Typical",IF(calTotal!$E$7="W80",(2.7909*EXP(0.0293*D53)/1.2),IF(OR(calTotal!$E$7="Q100",calTotal!$E$7="Q144"),(3.3892*EXP(0.0293*D53)/1.2),IF(calTotal!$E$7="F169",(2.7089*EXP(0.0293*D53)/1.2),IF(calTotal!$E$7="F256",(3.3892*EXP(0.0293*D53)/1.2),"Invalid")))),IF(calTotal!$E$9="Maximum",(7.2106*EXP(0.0293*D53)/1.2),"Invalid")),IF(OR(calTotal!$E$7="F324",calTotal!$E$7="F400"),IF(calTotal!$E$9="Typical",IF(calTotal!$E$7="F324",(19.1814*EXP(0.0181*D53)/1.2),IF(calTotal!$E$7="F400",(19.3955*EXP(0.0181*D53)/1.2),"Invalid")),IF(calTotal!$E$9="Maximum",(34.982*EXP(0.0181*D53)/1.2),"Invalid"))))</f>
        <v>73.743744689607169</v>
      </c>
      <c r="F53" s="98">
        <f>IF(OR(Package="F324",Package="F400"),E53*(calTotal!$G$31^2),E53*(calTotal!$G$104^2))</f>
        <v>106.19099235303432</v>
      </c>
      <c r="G53" s="98">
        <f>IF(calTotal!$G$39="-",0,IF(OR(calTotal!$E$11="Nominal",calTotal!$E$11="Maximum"),IF(AND(calTotal!$G$39&gt;=1.14,calTotal!$G$39&lt;=1.3),((10.144*EXP(0.0051*D53))*(calTotal!$G$39^2)),((28.333*EXP(0.002*D53))*(calTotal!$G$39^2))),IF(calTotal!$G$39=1.14,((10.144*EXP(0.0051*D53))*(calTotal!$G$39^2)),((28.333*EXP(0.002*D53))*(calTotal!$G$39^2)))))</f>
        <v>0</v>
      </c>
      <c r="H53" s="99">
        <f>IF(Package="F324",SUM(calTotal!$D$30:$D$36)+calTotal!$M$19+F53+G53+calTotal!$N$28,IF(Package="F400",SUM(calTotal!$D$30:$D$35)+calTotal!$M$19+F53+G53+calTotal!$N$28,IF(OR(Package="W80",Package="F169"),SUM(calTotal!$D$103:$D$109)+F53+calTotal!$N$90,SUM(calTotal!$D$103:$D$108)+F53+calTotal!$N$90)))</f>
        <v>1684.5433188383333</v>
      </c>
    </row>
    <row r="54" spans="3:8" x14ac:dyDescent="0.35">
      <c r="C54" s="96">
        <v>52</v>
      </c>
      <c r="D54" s="92">
        <f>IF(OR(Package="F324",Package="F400"),calTotal!$E$16+(IF(calTotal!$E$18="None",calTotal!$E$21,calTotal!$E$20)*(H53*0.001)),calTotal!$E$89+(IF(calTotal!$E$91="None",calTotal!$E$94,calTotal!$E$93)*(H53*0.001)))</f>
        <v>111.34211007871819</v>
      </c>
      <c r="E54" s="92">
        <f>IF(OR(calTotal!$E$7="W80",calTotal!$E$7="Q100",calTotal!$E$7="Q144",calTotal!$E$7="F169",calTotal!$E$7="F256"),IF(calTotal!$E$9="Typical",IF(calTotal!$E$7="W80",(2.7909*EXP(0.0293*D54)/1.2),IF(OR(calTotal!$E$7="Q100",calTotal!$E$7="Q144"),(3.3892*EXP(0.0293*D54)/1.2),IF(calTotal!$E$7="F169",(2.7089*EXP(0.0293*D54)/1.2),IF(calTotal!$E$7="F256",(3.3892*EXP(0.0293*D54)/1.2),"Invalid")))),IF(calTotal!$E$9="Maximum",(7.2106*EXP(0.0293*D54)/1.2),"Invalid")),IF(OR(calTotal!$E$7="F324",calTotal!$E$7="F400"),IF(calTotal!$E$9="Typical",IF(calTotal!$E$7="F324",(19.1814*EXP(0.0181*D54)/1.2),IF(calTotal!$E$7="F400",(19.3955*EXP(0.0181*D54)/1.2),"Invalid")),IF(calTotal!$E$9="Maximum",(34.982*EXP(0.0181*D54)/1.2),"Invalid"))))</f>
        <v>73.743744689607169</v>
      </c>
      <c r="F54" s="98">
        <f>IF(OR(Package="F324",Package="F400"),E54*(calTotal!$G$31^2),E54*(calTotal!$G$104^2))</f>
        <v>106.19099235303432</v>
      </c>
      <c r="G54" s="98">
        <f>IF(calTotal!$G$39="-",0,IF(OR(calTotal!$E$11="Nominal",calTotal!$E$11="Maximum"),IF(AND(calTotal!$G$39&gt;=1.14,calTotal!$G$39&lt;=1.3),((10.144*EXP(0.0051*D54))*(calTotal!$G$39^2)),((28.333*EXP(0.002*D54))*(calTotal!$G$39^2))),IF(calTotal!$G$39=1.14,((10.144*EXP(0.0051*D54))*(calTotal!$G$39^2)),((28.333*EXP(0.002*D54))*(calTotal!$G$39^2)))))</f>
        <v>0</v>
      </c>
      <c r="H54" s="99">
        <f>IF(Package="F324",SUM(calTotal!$D$30:$D$36)+calTotal!$M$19+F54+G54+calTotal!$N$28,IF(Package="F400",SUM(calTotal!$D$30:$D$35)+calTotal!$M$19+F54+G54+calTotal!$N$28,IF(OR(Package="W80",Package="F169"),SUM(calTotal!$D$103:$D$109)+F54+calTotal!$N$90,SUM(calTotal!$D$103:$D$108)+F54+calTotal!$N$90)))</f>
        <v>1684.5433188383333</v>
      </c>
    </row>
    <row r="55" spans="3:8" x14ac:dyDescent="0.35">
      <c r="C55" s="96">
        <v>53</v>
      </c>
      <c r="D55" s="92">
        <f>IF(OR(Package="F324",Package="F400"),calTotal!$E$16+(IF(calTotal!$E$18="None",calTotal!$E$21,calTotal!$E$20)*(H54*0.001)),calTotal!$E$89+(IF(calTotal!$E$91="None",calTotal!$E$94,calTotal!$E$93)*(H54*0.001)))</f>
        <v>111.34211007871819</v>
      </c>
      <c r="E55" s="92">
        <f>IF(OR(calTotal!$E$7="W80",calTotal!$E$7="Q100",calTotal!$E$7="Q144",calTotal!$E$7="F169",calTotal!$E$7="F256"),IF(calTotal!$E$9="Typical",IF(calTotal!$E$7="W80",(2.7909*EXP(0.0293*D55)/1.2),IF(OR(calTotal!$E$7="Q100",calTotal!$E$7="Q144"),(3.3892*EXP(0.0293*D55)/1.2),IF(calTotal!$E$7="F169",(2.7089*EXP(0.0293*D55)/1.2),IF(calTotal!$E$7="F256",(3.3892*EXP(0.0293*D55)/1.2),"Invalid")))),IF(calTotal!$E$9="Maximum",(7.2106*EXP(0.0293*D55)/1.2),"Invalid")),IF(OR(calTotal!$E$7="F324",calTotal!$E$7="F400"),IF(calTotal!$E$9="Typical",IF(calTotal!$E$7="F324",(19.1814*EXP(0.0181*D55)/1.2),IF(calTotal!$E$7="F400",(19.3955*EXP(0.0181*D55)/1.2),"Invalid")),IF(calTotal!$E$9="Maximum",(34.982*EXP(0.0181*D55)/1.2),"Invalid"))))</f>
        <v>73.743744689607169</v>
      </c>
      <c r="F55" s="98">
        <f>IF(OR(Package="F324",Package="F400"),E55*(calTotal!$G$31^2),E55*(calTotal!$G$104^2))</f>
        <v>106.19099235303432</v>
      </c>
      <c r="G55" s="98">
        <f>IF(calTotal!$G$39="-",0,IF(OR(calTotal!$E$11="Nominal",calTotal!$E$11="Maximum"),IF(AND(calTotal!$G$39&gt;=1.14,calTotal!$G$39&lt;=1.3),((10.144*EXP(0.0051*D55))*(calTotal!$G$39^2)),((28.333*EXP(0.002*D55))*(calTotal!$G$39^2))),IF(calTotal!$G$39=1.14,((10.144*EXP(0.0051*D55))*(calTotal!$G$39^2)),((28.333*EXP(0.002*D55))*(calTotal!$G$39^2)))))</f>
        <v>0</v>
      </c>
      <c r="H55" s="99">
        <f>IF(Package="F324",SUM(calTotal!$D$30:$D$36)+calTotal!$M$19+F55+G55+calTotal!$N$28,IF(Package="F400",SUM(calTotal!$D$30:$D$35)+calTotal!$M$19+F55+G55+calTotal!$N$28,IF(OR(Package="W80",Package="F169"),SUM(calTotal!$D$103:$D$109)+F55+calTotal!$N$90,SUM(calTotal!$D$103:$D$108)+F55+calTotal!$N$90)))</f>
        <v>1684.5433188383333</v>
      </c>
    </row>
    <row r="56" spans="3:8" x14ac:dyDescent="0.35">
      <c r="C56" s="96">
        <v>54</v>
      </c>
      <c r="D56" s="92">
        <f>IF(OR(Package="F324",Package="F400"),calTotal!$E$16+(IF(calTotal!$E$18="None",calTotal!$E$21,calTotal!$E$20)*(H55*0.001)),calTotal!$E$89+(IF(calTotal!$E$91="None",calTotal!$E$94,calTotal!$E$93)*(H55*0.001)))</f>
        <v>111.34211007871819</v>
      </c>
      <c r="E56" s="92">
        <f>IF(OR(calTotal!$E$7="W80",calTotal!$E$7="Q100",calTotal!$E$7="Q144",calTotal!$E$7="F169",calTotal!$E$7="F256"),IF(calTotal!$E$9="Typical",IF(calTotal!$E$7="W80",(2.7909*EXP(0.0293*D56)/1.2),IF(OR(calTotal!$E$7="Q100",calTotal!$E$7="Q144"),(3.3892*EXP(0.0293*D56)/1.2),IF(calTotal!$E$7="F169",(2.7089*EXP(0.0293*D56)/1.2),IF(calTotal!$E$7="F256",(3.3892*EXP(0.0293*D56)/1.2),"Invalid")))),IF(calTotal!$E$9="Maximum",(7.2106*EXP(0.0293*D56)/1.2),"Invalid")),IF(OR(calTotal!$E$7="F324",calTotal!$E$7="F400"),IF(calTotal!$E$9="Typical",IF(calTotal!$E$7="F324",(19.1814*EXP(0.0181*D56)/1.2),IF(calTotal!$E$7="F400",(19.3955*EXP(0.0181*D56)/1.2),"Invalid")),IF(calTotal!$E$9="Maximum",(34.982*EXP(0.0181*D56)/1.2),"Invalid"))))</f>
        <v>73.743744689607169</v>
      </c>
      <c r="F56" s="98">
        <f>IF(OR(Package="F324",Package="F400"),E56*(calTotal!$G$31^2),E56*(calTotal!$G$104^2))</f>
        <v>106.19099235303432</v>
      </c>
      <c r="G56" s="98">
        <f>IF(calTotal!$G$39="-",0,IF(OR(calTotal!$E$11="Nominal",calTotal!$E$11="Maximum"),IF(AND(calTotal!$G$39&gt;=1.14,calTotal!$G$39&lt;=1.3),((10.144*EXP(0.0051*D56))*(calTotal!$G$39^2)),((28.333*EXP(0.002*D56))*(calTotal!$G$39^2))),IF(calTotal!$G$39=1.14,((10.144*EXP(0.0051*D56))*(calTotal!$G$39^2)),((28.333*EXP(0.002*D56))*(calTotal!$G$39^2)))))</f>
        <v>0</v>
      </c>
      <c r="H56" s="99">
        <f>IF(Package="F324",SUM(calTotal!$D$30:$D$36)+calTotal!$M$19+F56+G56+calTotal!$N$28,IF(Package="F400",SUM(calTotal!$D$30:$D$35)+calTotal!$M$19+F56+G56+calTotal!$N$28,IF(OR(Package="W80",Package="F169"),SUM(calTotal!$D$103:$D$109)+F56+calTotal!$N$90,SUM(calTotal!$D$103:$D$108)+F56+calTotal!$N$90)))</f>
        <v>1684.5433188383333</v>
      </c>
    </row>
    <row r="57" spans="3:8" x14ac:dyDescent="0.35">
      <c r="C57" s="96">
        <v>55</v>
      </c>
      <c r="D57" s="92">
        <f>IF(OR(Package="F324",Package="F400"),calTotal!$E$16+(IF(calTotal!$E$18="None",calTotal!$E$21,calTotal!$E$20)*(H56*0.001)),calTotal!$E$89+(IF(calTotal!$E$91="None",calTotal!$E$94,calTotal!$E$93)*(H56*0.001)))</f>
        <v>111.34211007871819</v>
      </c>
      <c r="E57" s="92">
        <f>IF(OR(calTotal!$E$7="W80",calTotal!$E$7="Q100",calTotal!$E$7="Q144",calTotal!$E$7="F169",calTotal!$E$7="F256"),IF(calTotal!$E$9="Typical",IF(calTotal!$E$7="W80",(2.7909*EXP(0.0293*D57)/1.2),IF(OR(calTotal!$E$7="Q100",calTotal!$E$7="Q144"),(3.3892*EXP(0.0293*D57)/1.2),IF(calTotal!$E$7="F169",(2.7089*EXP(0.0293*D57)/1.2),IF(calTotal!$E$7="F256",(3.3892*EXP(0.0293*D57)/1.2),"Invalid")))),IF(calTotal!$E$9="Maximum",(7.2106*EXP(0.0293*D57)/1.2),"Invalid")),IF(OR(calTotal!$E$7="F324",calTotal!$E$7="F400"),IF(calTotal!$E$9="Typical",IF(calTotal!$E$7="F324",(19.1814*EXP(0.0181*D57)/1.2),IF(calTotal!$E$7="F400",(19.3955*EXP(0.0181*D57)/1.2),"Invalid")),IF(calTotal!$E$9="Maximum",(34.982*EXP(0.0181*D57)/1.2),"Invalid"))))</f>
        <v>73.743744689607169</v>
      </c>
      <c r="F57" s="98">
        <f>IF(OR(Package="F324",Package="F400"),E57*(calTotal!$G$31^2),E57*(calTotal!$G$104^2))</f>
        <v>106.19099235303432</v>
      </c>
      <c r="G57" s="98">
        <f>IF(calTotal!$G$39="-",0,IF(OR(calTotal!$E$11="Nominal",calTotal!$E$11="Maximum"),IF(AND(calTotal!$G$39&gt;=1.14,calTotal!$G$39&lt;=1.3),((10.144*EXP(0.0051*D57))*(calTotal!$G$39^2)),((28.333*EXP(0.002*D57))*(calTotal!$G$39^2))),IF(calTotal!$G$39=1.14,((10.144*EXP(0.0051*D57))*(calTotal!$G$39^2)),((28.333*EXP(0.002*D57))*(calTotal!$G$39^2)))))</f>
        <v>0</v>
      </c>
      <c r="H57" s="99">
        <f>IF(Package="F324",SUM(calTotal!$D$30:$D$36)+calTotal!$M$19+F57+G57+calTotal!$N$28,IF(Package="F400",SUM(calTotal!$D$30:$D$35)+calTotal!$M$19+F57+G57+calTotal!$N$28,IF(OR(Package="W80",Package="F169"),SUM(calTotal!$D$103:$D$109)+F57+calTotal!$N$90,SUM(calTotal!$D$103:$D$108)+F57+calTotal!$N$90)))</f>
        <v>1684.5433188383333</v>
      </c>
    </row>
    <row r="58" spans="3:8" x14ac:dyDescent="0.35">
      <c r="C58" s="96">
        <v>56</v>
      </c>
      <c r="D58" s="92">
        <f>IF(OR(Package="F324",Package="F400"),calTotal!$E$16+(IF(calTotal!$E$18="None",calTotal!$E$21,calTotal!$E$20)*(H57*0.001)),calTotal!$E$89+(IF(calTotal!$E$91="None",calTotal!$E$94,calTotal!$E$93)*(H57*0.001)))</f>
        <v>111.34211007871819</v>
      </c>
      <c r="E58" s="92">
        <f>IF(OR(calTotal!$E$7="W80",calTotal!$E$7="Q100",calTotal!$E$7="Q144",calTotal!$E$7="F169",calTotal!$E$7="F256"),IF(calTotal!$E$9="Typical",IF(calTotal!$E$7="W80",(2.7909*EXP(0.0293*D58)/1.2),IF(OR(calTotal!$E$7="Q100",calTotal!$E$7="Q144"),(3.3892*EXP(0.0293*D58)/1.2),IF(calTotal!$E$7="F169",(2.7089*EXP(0.0293*D58)/1.2),IF(calTotal!$E$7="F256",(3.3892*EXP(0.0293*D58)/1.2),"Invalid")))),IF(calTotal!$E$9="Maximum",(7.2106*EXP(0.0293*D58)/1.2),"Invalid")),IF(OR(calTotal!$E$7="F324",calTotal!$E$7="F400"),IF(calTotal!$E$9="Typical",IF(calTotal!$E$7="F324",(19.1814*EXP(0.0181*D58)/1.2),IF(calTotal!$E$7="F400",(19.3955*EXP(0.0181*D58)/1.2),"Invalid")),IF(calTotal!$E$9="Maximum",(34.982*EXP(0.0181*D58)/1.2),"Invalid"))))</f>
        <v>73.743744689607169</v>
      </c>
      <c r="F58" s="98">
        <f>IF(OR(Package="F324",Package="F400"),E58*(calTotal!$G$31^2),E58*(calTotal!$G$104^2))</f>
        <v>106.19099235303432</v>
      </c>
      <c r="G58" s="98">
        <f>IF(calTotal!$G$39="-",0,IF(OR(calTotal!$E$11="Nominal",calTotal!$E$11="Maximum"),IF(AND(calTotal!$G$39&gt;=1.14,calTotal!$G$39&lt;=1.3),((10.144*EXP(0.0051*D58))*(calTotal!$G$39^2)),((28.333*EXP(0.002*D58))*(calTotal!$G$39^2))),IF(calTotal!$G$39=1.14,((10.144*EXP(0.0051*D58))*(calTotal!$G$39^2)),((28.333*EXP(0.002*D58))*(calTotal!$G$39^2)))))</f>
        <v>0</v>
      </c>
      <c r="H58" s="99">
        <f>IF(Package="F324",SUM(calTotal!$D$30:$D$36)+calTotal!$M$19+F58+G58+calTotal!$N$28,IF(Package="F400",SUM(calTotal!$D$30:$D$35)+calTotal!$M$19+F58+G58+calTotal!$N$28,IF(OR(Package="W80",Package="F169"),SUM(calTotal!$D$103:$D$109)+F58+calTotal!$N$90,SUM(calTotal!$D$103:$D$108)+F58+calTotal!$N$90)))</f>
        <v>1684.5433188383333</v>
      </c>
    </row>
    <row r="59" spans="3:8" x14ac:dyDescent="0.35">
      <c r="C59" s="96">
        <v>57</v>
      </c>
      <c r="D59" s="92">
        <f>IF(OR(Package="F324",Package="F400"),calTotal!$E$16+(IF(calTotal!$E$18="None",calTotal!$E$21,calTotal!$E$20)*(H58*0.001)),calTotal!$E$89+(IF(calTotal!$E$91="None",calTotal!$E$94,calTotal!$E$93)*(H58*0.001)))</f>
        <v>111.34211007871819</v>
      </c>
      <c r="E59" s="92">
        <f>IF(OR(calTotal!$E$7="W80",calTotal!$E$7="Q100",calTotal!$E$7="Q144",calTotal!$E$7="F169",calTotal!$E$7="F256"),IF(calTotal!$E$9="Typical",IF(calTotal!$E$7="W80",(2.7909*EXP(0.0293*D59)/1.2),IF(OR(calTotal!$E$7="Q100",calTotal!$E$7="Q144"),(3.3892*EXP(0.0293*D59)/1.2),IF(calTotal!$E$7="F169",(2.7089*EXP(0.0293*D59)/1.2),IF(calTotal!$E$7="F256",(3.3892*EXP(0.0293*D59)/1.2),"Invalid")))),IF(calTotal!$E$9="Maximum",(7.2106*EXP(0.0293*D59)/1.2),"Invalid")),IF(OR(calTotal!$E$7="F324",calTotal!$E$7="F400"),IF(calTotal!$E$9="Typical",IF(calTotal!$E$7="F324",(19.1814*EXP(0.0181*D59)/1.2),IF(calTotal!$E$7="F400",(19.3955*EXP(0.0181*D59)/1.2),"Invalid")),IF(calTotal!$E$9="Maximum",(34.982*EXP(0.0181*D59)/1.2),"Invalid"))))</f>
        <v>73.743744689607169</v>
      </c>
      <c r="F59" s="98">
        <f>IF(OR(Package="F324",Package="F400"),E59*(calTotal!$G$31^2),E59*(calTotal!$G$104^2))</f>
        <v>106.19099235303432</v>
      </c>
      <c r="G59" s="98">
        <f>IF(calTotal!$G$39="-",0,IF(OR(calTotal!$E$11="Nominal",calTotal!$E$11="Maximum"),IF(AND(calTotal!$G$39&gt;=1.14,calTotal!$G$39&lt;=1.3),((10.144*EXP(0.0051*D59))*(calTotal!$G$39^2)),((28.333*EXP(0.002*D59))*(calTotal!$G$39^2))),IF(calTotal!$G$39=1.14,((10.144*EXP(0.0051*D59))*(calTotal!$G$39^2)),((28.333*EXP(0.002*D59))*(calTotal!$G$39^2)))))</f>
        <v>0</v>
      </c>
      <c r="H59" s="99">
        <f>IF(Package="F324",SUM(calTotal!$D$30:$D$36)+calTotal!$M$19+F59+G59+calTotal!$N$28,IF(Package="F400",SUM(calTotal!$D$30:$D$35)+calTotal!$M$19+F59+G59+calTotal!$N$28,IF(OR(Package="W80",Package="F169"),SUM(calTotal!$D$103:$D$109)+F59+calTotal!$N$90,SUM(calTotal!$D$103:$D$108)+F59+calTotal!$N$90)))</f>
        <v>1684.5433188383333</v>
      </c>
    </row>
    <row r="60" spans="3:8" x14ac:dyDescent="0.35">
      <c r="C60" s="96">
        <v>58</v>
      </c>
      <c r="D60" s="92">
        <f>IF(OR(Package="F324",Package="F400"),calTotal!$E$16+(IF(calTotal!$E$18="None",calTotal!$E$21,calTotal!$E$20)*(H59*0.001)),calTotal!$E$89+(IF(calTotal!$E$91="None",calTotal!$E$94,calTotal!$E$93)*(H59*0.001)))</f>
        <v>111.34211007871819</v>
      </c>
      <c r="E60" s="92">
        <f>IF(OR(calTotal!$E$7="W80",calTotal!$E$7="Q100",calTotal!$E$7="Q144",calTotal!$E$7="F169",calTotal!$E$7="F256"),IF(calTotal!$E$9="Typical",IF(calTotal!$E$7="W80",(2.7909*EXP(0.0293*D60)/1.2),IF(OR(calTotal!$E$7="Q100",calTotal!$E$7="Q144"),(3.3892*EXP(0.0293*D60)/1.2),IF(calTotal!$E$7="F169",(2.7089*EXP(0.0293*D60)/1.2),IF(calTotal!$E$7="F256",(3.3892*EXP(0.0293*D60)/1.2),"Invalid")))),IF(calTotal!$E$9="Maximum",(7.2106*EXP(0.0293*D60)/1.2),"Invalid")),IF(OR(calTotal!$E$7="F324",calTotal!$E$7="F400"),IF(calTotal!$E$9="Typical",IF(calTotal!$E$7="F324",(19.1814*EXP(0.0181*D60)/1.2),IF(calTotal!$E$7="F400",(19.3955*EXP(0.0181*D60)/1.2),"Invalid")),IF(calTotal!$E$9="Maximum",(34.982*EXP(0.0181*D60)/1.2),"Invalid"))))</f>
        <v>73.743744689607169</v>
      </c>
      <c r="F60" s="98">
        <f>IF(OR(Package="F324",Package="F400"),E60*(calTotal!$G$31^2),E60*(calTotal!$G$104^2))</f>
        <v>106.19099235303432</v>
      </c>
      <c r="G60" s="98">
        <f>IF(calTotal!$G$39="-",0,IF(OR(calTotal!$E$11="Nominal",calTotal!$E$11="Maximum"),IF(AND(calTotal!$G$39&gt;=1.14,calTotal!$G$39&lt;=1.3),((10.144*EXP(0.0051*D60))*(calTotal!$G$39^2)),((28.333*EXP(0.002*D60))*(calTotal!$G$39^2))),IF(calTotal!$G$39=1.14,((10.144*EXP(0.0051*D60))*(calTotal!$G$39^2)),((28.333*EXP(0.002*D60))*(calTotal!$G$39^2)))))</f>
        <v>0</v>
      </c>
      <c r="H60" s="99">
        <f>IF(Package="F324",SUM(calTotal!$D$30:$D$36)+calTotal!$M$19+F60+G60+calTotal!$N$28,IF(Package="F400",SUM(calTotal!$D$30:$D$35)+calTotal!$M$19+F60+G60+calTotal!$N$28,IF(OR(Package="W80",Package="F169"),SUM(calTotal!$D$103:$D$109)+F60+calTotal!$N$90,SUM(calTotal!$D$103:$D$108)+F60+calTotal!$N$90)))</f>
        <v>1684.5433188383333</v>
      </c>
    </row>
    <row r="61" spans="3:8" x14ac:dyDescent="0.35">
      <c r="C61" s="96">
        <v>59</v>
      </c>
      <c r="D61" s="92">
        <f>IF(OR(Package="F324",Package="F400"),calTotal!$E$16+(IF(calTotal!$E$18="None",calTotal!$E$21,calTotal!$E$20)*(H60*0.001)),calTotal!$E$89+(IF(calTotal!$E$91="None",calTotal!$E$94,calTotal!$E$93)*(H60*0.001)))</f>
        <v>111.34211007871819</v>
      </c>
      <c r="E61" s="92">
        <f>IF(OR(calTotal!$E$7="W80",calTotal!$E$7="Q100",calTotal!$E$7="Q144",calTotal!$E$7="F169",calTotal!$E$7="F256"),IF(calTotal!$E$9="Typical",IF(calTotal!$E$7="W80",(2.7909*EXP(0.0293*D61)/1.2),IF(OR(calTotal!$E$7="Q100",calTotal!$E$7="Q144"),(3.3892*EXP(0.0293*D61)/1.2),IF(calTotal!$E$7="F169",(2.7089*EXP(0.0293*D61)/1.2),IF(calTotal!$E$7="F256",(3.3892*EXP(0.0293*D61)/1.2),"Invalid")))),IF(calTotal!$E$9="Maximum",(7.2106*EXP(0.0293*D61)/1.2),"Invalid")),IF(OR(calTotal!$E$7="F324",calTotal!$E$7="F400"),IF(calTotal!$E$9="Typical",IF(calTotal!$E$7="F324",(19.1814*EXP(0.0181*D61)/1.2),IF(calTotal!$E$7="F400",(19.3955*EXP(0.0181*D61)/1.2),"Invalid")),IF(calTotal!$E$9="Maximum",(34.982*EXP(0.0181*D61)/1.2),"Invalid"))))</f>
        <v>73.743744689607169</v>
      </c>
      <c r="F61" s="98">
        <f>IF(OR(Package="F324",Package="F400"),E61*(calTotal!$G$31^2),E61*(calTotal!$G$104^2))</f>
        <v>106.19099235303432</v>
      </c>
      <c r="G61" s="98">
        <f>IF(calTotal!$G$39="-",0,IF(OR(calTotal!$E$11="Nominal",calTotal!$E$11="Maximum"),IF(AND(calTotal!$G$39&gt;=1.14,calTotal!$G$39&lt;=1.3),((10.144*EXP(0.0051*D61))*(calTotal!$G$39^2)),((28.333*EXP(0.002*D61))*(calTotal!$G$39^2))),IF(calTotal!$G$39=1.14,((10.144*EXP(0.0051*D61))*(calTotal!$G$39^2)),((28.333*EXP(0.002*D61))*(calTotal!$G$39^2)))))</f>
        <v>0</v>
      </c>
      <c r="H61" s="99">
        <f>IF(Package="F324",SUM(calTotal!$D$30:$D$36)+calTotal!$M$19+F61+G61+calTotal!$N$28,IF(Package="F400",SUM(calTotal!$D$30:$D$35)+calTotal!$M$19+F61+G61+calTotal!$N$28,IF(OR(Package="W80",Package="F169"),SUM(calTotal!$D$103:$D$109)+F61+calTotal!$N$90,SUM(calTotal!$D$103:$D$108)+F61+calTotal!$N$90)))</f>
        <v>1684.5433188383333</v>
      </c>
    </row>
    <row r="62" spans="3:8" x14ac:dyDescent="0.35">
      <c r="C62" s="96">
        <v>60</v>
      </c>
      <c r="D62" s="92">
        <f>IF(OR(Package="F324",Package="F400"),calTotal!$E$16+(IF(calTotal!$E$18="None",calTotal!$E$21,calTotal!$E$20)*(H61*0.001)),calTotal!$E$89+(IF(calTotal!$E$91="None",calTotal!$E$94,calTotal!$E$93)*(H61*0.001)))</f>
        <v>111.34211007871819</v>
      </c>
      <c r="E62" s="92">
        <f>IF(OR(calTotal!$E$7="W80",calTotal!$E$7="Q100",calTotal!$E$7="Q144",calTotal!$E$7="F169",calTotal!$E$7="F256"),IF(calTotal!$E$9="Typical",IF(calTotal!$E$7="W80",(2.7909*EXP(0.0293*D62)/1.2),IF(OR(calTotal!$E$7="Q100",calTotal!$E$7="Q144"),(3.3892*EXP(0.0293*D62)/1.2),IF(calTotal!$E$7="F169",(2.7089*EXP(0.0293*D62)/1.2),IF(calTotal!$E$7="F256",(3.3892*EXP(0.0293*D62)/1.2),"Invalid")))),IF(calTotal!$E$9="Maximum",(7.2106*EXP(0.0293*D62)/1.2),"Invalid")),IF(OR(calTotal!$E$7="F324",calTotal!$E$7="F400"),IF(calTotal!$E$9="Typical",IF(calTotal!$E$7="F324",(19.1814*EXP(0.0181*D62)/1.2),IF(calTotal!$E$7="F400",(19.3955*EXP(0.0181*D62)/1.2),"Invalid")),IF(calTotal!$E$9="Maximum",(34.982*EXP(0.0181*D62)/1.2),"Invalid"))))</f>
        <v>73.743744689607169</v>
      </c>
      <c r="F62" s="98">
        <f>IF(OR(Package="F324",Package="F400"),E62*(calTotal!$G$31^2),E62*(calTotal!$G$104^2))</f>
        <v>106.19099235303432</v>
      </c>
      <c r="G62" s="98">
        <f>IF(calTotal!$G$39="-",0,IF(OR(calTotal!$E$11="Nominal",calTotal!$E$11="Maximum"),IF(AND(calTotal!$G$39&gt;=1.14,calTotal!$G$39&lt;=1.3),((10.144*EXP(0.0051*D62))*(calTotal!$G$39^2)),((28.333*EXP(0.002*D62))*(calTotal!$G$39^2))),IF(calTotal!$G$39=1.14,((10.144*EXP(0.0051*D62))*(calTotal!$G$39^2)),((28.333*EXP(0.002*D62))*(calTotal!$G$39^2)))))</f>
        <v>0</v>
      </c>
      <c r="H62" s="99">
        <f>IF(Package="F324",SUM(calTotal!$D$30:$D$36)+calTotal!$M$19+F62+G62+calTotal!$N$28,IF(Package="F400",SUM(calTotal!$D$30:$D$35)+calTotal!$M$19+F62+G62+calTotal!$N$28,IF(OR(Package="W80",Package="F169"),SUM(calTotal!$D$103:$D$109)+F62+calTotal!$N$90,SUM(calTotal!$D$103:$D$108)+F62+calTotal!$N$90)))</f>
        <v>1684.5433188383333</v>
      </c>
    </row>
    <row r="63" spans="3:8" x14ac:dyDescent="0.35">
      <c r="C63" s="96">
        <v>61</v>
      </c>
      <c r="D63" s="92">
        <f>IF(OR(Package="F324",Package="F400"),calTotal!$E$16+(IF(calTotal!$E$18="None",calTotal!$E$21,calTotal!$E$20)*(H62*0.001)),calTotal!$E$89+(IF(calTotal!$E$91="None",calTotal!$E$94,calTotal!$E$93)*(H62*0.001)))</f>
        <v>111.34211007871819</v>
      </c>
      <c r="E63" s="92">
        <f>IF(OR(calTotal!$E$7="W80",calTotal!$E$7="Q100",calTotal!$E$7="Q144",calTotal!$E$7="F169",calTotal!$E$7="F256"),IF(calTotal!$E$9="Typical",IF(calTotal!$E$7="W80",(2.7909*EXP(0.0293*D63)/1.2),IF(OR(calTotal!$E$7="Q100",calTotal!$E$7="Q144"),(3.3892*EXP(0.0293*D63)/1.2),IF(calTotal!$E$7="F169",(2.7089*EXP(0.0293*D63)/1.2),IF(calTotal!$E$7="F256",(3.3892*EXP(0.0293*D63)/1.2),"Invalid")))),IF(calTotal!$E$9="Maximum",(7.2106*EXP(0.0293*D63)/1.2),"Invalid")),IF(OR(calTotal!$E$7="F324",calTotal!$E$7="F400"),IF(calTotal!$E$9="Typical",IF(calTotal!$E$7="F324",(19.1814*EXP(0.0181*D63)/1.2),IF(calTotal!$E$7="F400",(19.3955*EXP(0.0181*D63)/1.2),"Invalid")),IF(calTotal!$E$9="Maximum",(34.982*EXP(0.0181*D63)/1.2),"Invalid"))))</f>
        <v>73.743744689607169</v>
      </c>
      <c r="F63" s="98">
        <f>IF(OR(Package="F324",Package="F400"),E63*(calTotal!$G$31^2),E63*(calTotal!$G$104^2))</f>
        <v>106.19099235303432</v>
      </c>
      <c r="G63" s="98">
        <f>IF(calTotal!$G$39="-",0,IF(OR(calTotal!$E$11="Nominal",calTotal!$E$11="Maximum"),IF(AND(calTotal!$G$39&gt;=1.14,calTotal!$G$39&lt;=1.3),((10.144*EXP(0.0051*D63))*(calTotal!$G$39^2)),((28.333*EXP(0.002*D63))*(calTotal!$G$39^2))),IF(calTotal!$G$39=1.14,((10.144*EXP(0.0051*D63))*(calTotal!$G$39^2)),((28.333*EXP(0.002*D63))*(calTotal!$G$39^2)))))</f>
        <v>0</v>
      </c>
      <c r="H63" s="99">
        <f>IF(Package="F324",SUM(calTotal!$D$30:$D$36)+calTotal!$M$19+F63+G63+calTotal!$N$28,IF(Package="F400",SUM(calTotal!$D$30:$D$35)+calTotal!$M$19+F63+G63+calTotal!$N$28,IF(OR(Package="W80",Package="F169"),SUM(calTotal!$D$103:$D$109)+F63+calTotal!$N$90,SUM(calTotal!$D$103:$D$108)+F63+calTotal!$N$90)))</f>
        <v>1684.5433188383333</v>
      </c>
    </row>
    <row r="64" spans="3:8" x14ac:dyDescent="0.35">
      <c r="C64" s="96">
        <v>62</v>
      </c>
      <c r="D64" s="92">
        <f>IF(OR(Package="F324",Package="F400"),calTotal!$E$16+(IF(calTotal!$E$18="None",calTotal!$E$21,calTotal!$E$20)*(H63*0.001)),calTotal!$E$89+(IF(calTotal!$E$91="None",calTotal!$E$94,calTotal!$E$93)*(H63*0.001)))</f>
        <v>111.34211007871819</v>
      </c>
      <c r="E64" s="92">
        <f>IF(OR(calTotal!$E$7="W80",calTotal!$E$7="Q100",calTotal!$E$7="Q144",calTotal!$E$7="F169",calTotal!$E$7="F256"),IF(calTotal!$E$9="Typical",IF(calTotal!$E$7="W80",(2.7909*EXP(0.0293*D64)/1.2),IF(OR(calTotal!$E$7="Q100",calTotal!$E$7="Q144"),(3.3892*EXP(0.0293*D64)/1.2),IF(calTotal!$E$7="F169",(2.7089*EXP(0.0293*D64)/1.2),IF(calTotal!$E$7="F256",(3.3892*EXP(0.0293*D64)/1.2),"Invalid")))),IF(calTotal!$E$9="Maximum",(7.2106*EXP(0.0293*D64)/1.2),"Invalid")),IF(OR(calTotal!$E$7="F324",calTotal!$E$7="F400"),IF(calTotal!$E$9="Typical",IF(calTotal!$E$7="F324",(19.1814*EXP(0.0181*D64)/1.2),IF(calTotal!$E$7="F400",(19.3955*EXP(0.0181*D64)/1.2),"Invalid")),IF(calTotal!$E$9="Maximum",(34.982*EXP(0.0181*D64)/1.2),"Invalid"))))</f>
        <v>73.743744689607169</v>
      </c>
      <c r="F64" s="98">
        <f>IF(OR(Package="F324",Package="F400"),E64*(calTotal!$G$31^2),E64*(calTotal!$G$104^2))</f>
        <v>106.19099235303432</v>
      </c>
      <c r="G64" s="98">
        <f>IF(calTotal!$G$39="-",0,IF(OR(calTotal!$E$11="Nominal",calTotal!$E$11="Maximum"),IF(AND(calTotal!$G$39&gt;=1.14,calTotal!$G$39&lt;=1.3),((10.144*EXP(0.0051*D64))*(calTotal!$G$39^2)),((28.333*EXP(0.002*D64))*(calTotal!$G$39^2))),IF(calTotal!$G$39=1.14,((10.144*EXP(0.0051*D64))*(calTotal!$G$39^2)),((28.333*EXP(0.002*D64))*(calTotal!$G$39^2)))))</f>
        <v>0</v>
      </c>
      <c r="H64" s="99">
        <f>IF(Package="F324",SUM(calTotal!$D$30:$D$36)+calTotal!$M$19+F64+G64+calTotal!$N$28,IF(Package="F400",SUM(calTotal!$D$30:$D$35)+calTotal!$M$19+F64+G64+calTotal!$N$28,IF(OR(Package="W80",Package="F169"),SUM(calTotal!$D$103:$D$109)+F64+calTotal!$N$90,SUM(calTotal!$D$103:$D$108)+F64+calTotal!$N$90)))</f>
        <v>1684.5433188383333</v>
      </c>
    </row>
    <row r="65" spans="3:8" x14ac:dyDescent="0.35">
      <c r="C65" s="96">
        <v>63</v>
      </c>
      <c r="D65" s="92">
        <f>IF(OR(Package="F324",Package="F400"),calTotal!$E$16+(IF(calTotal!$E$18="None",calTotal!$E$21,calTotal!$E$20)*(H64*0.001)),calTotal!$E$89+(IF(calTotal!$E$91="None",calTotal!$E$94,calTotal!$E$93)*(H64*0.001)))</f>
        <v>111.34211007871819</v>
      </c>
      <c r="E65" s="92">
        <f>IF(OR(calTotal!$E$7="W80",calTotal!$E$7="Q100",calTotal!$E$7="Q144",calTotal!$E$7="F169",calTotal!$E$7="F256"),IF(calTotal!$E$9="Typical",IF(calTotal!$E$7="W80",(2.7909*EXP(0.0293*D65)/1.2),IF(OR(calTotal!$E$7="Q100",calTotal!$E$7="Q144"),(3.3892*EXP(0.0293*D65)/1.2),IF(calTotal!$E$7="F169",(2.7089*EXP(0.0293*D65)/1.2),IF(calTotal!$E$7="F256",(3.3892*EXP(0.0293*D65)/1.2),"Invalid")))),IF(calTotal!$E$9="Maximum",(7.2106*EXP(0.0293*D65)/1.2),"Invalid")),IF(OR(calTotal!$E$7="F324",calTotal!$E$7="F400"),IF(calTotal!$E$9="Typical",IF(calTotal!$E$7="F324",(19.1814*EXP(0.0181*D65)/1.2),IF(calTotal!$E$7="F400",(19.3955*EXP(0.0181*D65)/1.2),"Invalid")),IF(calTotal!$E$9="Maximum",(34.982*EXP(0.0181*D65)/1.2),"Invalid"))))</f>
        <v>73.743744689607169</v>
      </c>
      <c r="F65" s="98">
        <f>IF(OR(Package="F324",Package="F400"),E65*(calTotal!$G$31^2),E65*(calTotal!$G$104^2))</f>
        <v>106.19099235303432</v>
      </c>
      <c r="G65" s="98">
        <f>IF(calTotal!$G$39="-",0,IF(OR(calTotal!$E$11="Nominal",calTotal!$E$11="Maximum"),IF(AND(calTotal!$G$39&gt;=1.14,calTotal!$G$39&lt;=1.3),((10.144*EXP(0.0051*D65))*(calTotal!$G$39^2)),((28.333*EXP(0.002*D65))*(calTotal!$G$39^2))),IF(calTotal!$G$39=1.14,((10.144*EXP(0.0051*D65))*(calTotal!$G$39^2)),((28.333*EXP(0.002*D65))*(calTotal!$G$39^2)))))</f>
        <v>0</v>
      </c>
      <c r="H65" s="99">
        <f>IF(Package="F324",SUM(calTotal!$D$30:$D$36)+calTotal!$M$19+F65+G65+calTotal!$N$28,IF(Package="F400",SUM(calTotal!$D$30:$D$35)+calTotal!$M$19+F65+G65+calTotal!$N$28,IF(OR(Package="W80",Package="F169"),SUM(calTotal!$D$103:$D$109)+F65+calTotal!$N$90,SUM(calTotal!$D$103:$D$108)+F65+calTotal!$N$90)))</f>
        <v>1684.5433188383333</v>
      </c>
    </row>
    <row r="66" spans="3:8" x14ac:dyDescent="0.35">
      <c r="C66" s="96">
        <v>64</v>
      </c>
      <c r="D66" s="92">
        <f>IF(OR(Package="F324",Package="F400"),calTotal!$E$16+(IF(calTotal!$E$18="None",calTotal!$E$21,calTotal!$E$20)*(H65*0.001)),calTotal!$E$89+(IF(calTotal!$E$91="None",calTotal!$E$94,calTotal!$E$93)*(H65*0.001)))</f>
        <v>111.34211007871819</v>
      </c>
      <c r="E66" s="92">
        <f>IF(OR(calTotal!$E$7="W80",calTotal!$E$7="Q100",calTotal!$E$7="Q144",calTotal!$E$7="F169",calTotal!$E$7="F256"),IF(calTotal!$E$9="Typical",IF(calTotal!$E$7="W80",(2.7909*EXP(0.0293*D66)/1.2),IF(OR(calTotal!$E$7="Q100",calTotal!$E$7="Q144"),(3.3892*EXP(0.0293*D66)/1.2),IF(calTotal!$E$7="F169",(2.7089*EXP(0.0293*D66)/1.2),IF(calTotal!$E$7="F256",(3.3892*EXP(0.0293*D66)/1.2),"Invalid")))),IF(calTotal!$E$9="Maximum",(7.2106*EXP(0.0293*D66)/1.2),"Invalid")),IF(OR(calTotal!$E$7="F324",calTotal!$E$7="F400"),IF(calTotal!$E$9="Typical",IF(calTotal!$E$7="F324",(19.1814*EXP(0.0181*D66)/1.2),IF(calTotal!$E$7="F400",(19.3955*EXP(0.0181*D66)/1.2),"Invalid")),IF(calTotal!$E$9="Maximum",(34.982*EXP(0.0181*D66)/1.2),"Invalid"))))</f>
        <v>73.743744689607169</v>
      </c>
      <c r="F66" s="98">
        <f>IF(OR(Package="F324",Package="F400"),E66*(calTotal!$G$31^2),E66*(calTotal!$G$104^2))</f>
        <v>106.19099235303432</v>
      </c>
      <c r="G66" s="98">
        <f>IF(calTotal!$G$39="-",0,IF(OR(calTotal!$E$11="Nominal",calTotal!$E$11="Maximum"),IF(AND(calTotal!$G$39&gt;=1.14,calTotal!$G$39&lt;=1.3),((10.144*EXP(0.0051*D66))*(calTotal!$G$39^2)),((28.333*EXP(0.002*D66))*(calTotal!$G$39^2))),IF(calTotal!$G$39=1.14,((10.144*EXP(0.0051*D66))*(calTotal!$G$39^2)),((28.333*EXP(0.002*D66))*(calTotal!$G$39^2)))))</f>
        <v>0</v>
      </c>
      <c r="H66" s="99">
        <f>IF(Package="F324",SUM(calTotal!$D$30:$D$36)+calTotal!$M$19+F66+G66+calTotal!$N$28,IF(Package="F400",SUM(calTotal!$D$30:$D$35)+calTotal!$M$19+F66+G66+calTotal!$N$28,IF(OR(Package="W80",Package="F169"),SUM(calTotal!$D$103:$D$109)+F66+calTotal!$N$90,SUM(calTotal!$D$103:$D$108)+F66+calTotal!$N$90)))</f>
        <v>1684.5433188383333</v>
      </c>
    </row>
    <row r="67" spans="3:8" x14ac:dyDescent="0.35">
      <c r="C67" s="96">
        <v>65</v>
      </c>
      <c r="D67" s="92">
        <f>IF(OR(Package="F324",Package="F400"),calTotal!$E$16+(IF(calTotal!$E$18="None",calTotal!$E$21,calTotal!$E$20)*(H66*0.001)),calTotal!$E$89+(IF(calTotal!$E$91="None",calTotal!$E$94,calTotal!$E$93)*(H66*0.001)))</f>
        <v>111.34211007871819</v>
      </c>
      <c r="E67" s="92">
        <f>IF(OR(calTotal!$E$7="W80",calTotal!$E$7="Q100",calTotal!$E$7="Q144",calTotal!$E$7="F169",calTotal!$E$7="F256"),IF(calTotal!$E$9="Typical",IF(calTotal!$E$7="W80",(2.7909*EXP(0.0293*D67)/1.2),IF(OR(calTotal!$E$7="Q100",calTotal!$E$7="Q144"),(3.3892*EXP(0.0293*D67)/1.2),IF(calTotal!$E$7="F169",(2.7089*EXP(0.0293*D67)/1.2),IF(calTotal!$E$7="F256",(3.3892*EXP(0.0293*D67)/1.2),"Invalid")))),IF(calTotal!$E$9="Maximum",(7.2106*EXP(0.0293*D67)/1.2),"Invalid")),IF(OR(calTotal!$E$7="F324",calTotal!$E$7="F400"),IF(calTotal!$E$9="Typical",IF(calTotal!$E$7="F324",(19.1814*EXP(0.0181*D67)/1.2),IF(calTotal!$E$7="F400",(19.3955*EXP(0.0181*D67)/1.2),"Invalid")),IF(calTotal!$E$9="Maximum",(34.982*EXP(0.0181*D67)/1.2),"Invalid"))))</f>
        <v>73.743744689607169</v>
      </c>
      <c r="F67" s="98">
        <f>IF(OR(Package="F324",Package="F400"),E67*(calTotal!$G$31^2),E67*(calTotal!$G$104^2))</f>
        <v>106.19099235303432</v>
      </c>
      <c r="G67" s="98">
        <f>IF(calTotal!$G$39="-",0,IF(OR(calTotal!$E$11="Nominal",calTotal!$E$11="Maximum"),IF(AND(calTotal!$G$39&gt;=1.14,calTotal!$G$39&lt;=1.3),((10.144*EXP(0.0051*D67))*(calTotal!$G$39^2)),((28.333*EXP(0.002*D67))*(calTotal!$G$39^2))),IF(calTotal!$G$39=1.14,((10.144*EXP(0.0051*D67))*(calTotal!$G$39^2)),((28.333*EXP(0.002*D67))*(calTotal!$G$39^2)))))</f>
        <v>0</v>
      </c>
      <c r="H67" s="99">
        <f>IF(Package="F324",SUM(calTotal!$D$30:$D$36)+calTotal!$M$19+F67+G67+calTotal!$N$28,IF(Package="F400",SUM(calTotal!$D$30:$D$35)+calTotal!$M$19+F67+G67+calTotal!$N$28,IF(OR(Package="W80",Package="F169"),SUM(calTotal!$D$103:$D$109)+F67+calTotal!$N$90,SUM(calTotal!$D$103:$D$108)+F67+calTotal!$N$90)))</f>
        <v>1684.5433188383333</v>
      </c>
    </row>
    <row r="68" spans="3:8" x14ac:dyDescent="0.35">
      <c r="C68" s="96">
        <v>66</v>
      </c>
      <c r="D68" s="92">
        <f>IF(OR(Package="F324",Package="F400"),calTotal!$E$16+(IF(calTotal!$E$18="None",calTotal!$E$21,calTotal!$E$20)*(H67*0.001)),calTotal!$E$89+(IF(calTotal!$E$91="None",calTotal!$E$94,calTotal!$E$93)*(H67*0.001)))</f>
        <v>111.34211007871819</v>
      </c>
      <c r="E68" s="92">
        <f>IF(OR(calTotal!$E$7="W80",calTotal!$E$7="Q100",calTotal!$E$7="Q144",calTotal!$E$7="F169",calTotal!$E$7="F256"),IF(calTotal!$E$9="Typical",IF(calTotal!$E$7="W80",(2.7909*EXP(0.0293*D68)/1.2),IF(OR(calTotal!$E$7="Q100",calTotal!$E$7="Q144"),(3.3892*EXP(0.0293*D68)/1.2),IF(calTotal!$E$7="F169",(2.7089*EXP(0.0293*D68)/1.2),IF(calTotal!$E$7="F256",(3.3892*EXP(0.0293*D68)/1.2),"Invalid")))),IF(calTotal!$E$9="Maximum",(7.2106*EXP(0.0293*D68)/1.2),"Invalid")),IF(OR(calTotal!$E$7="F324",calTotal!$E$7="F400"),IF(calTotal!$E$9="Typical",IF(calTotal!$E$7="F324",(19.1814*EXP(0.0181*D68)/1.2),IF(calTotal!$E$7="F400",(19.3955*EXP(0.0181*D68)/1.2),"Invalid")),IF(calTotal!$E$9="Maximum",(34.982*EXP(0.0181*D68)/1.2),"Invalid"))))</f>
        <v>73.743744689607169</v>
      </c>
      <c r="F68" s="98">
        <f>IF(OR(Package="F324",Package="F400"),E68*(calTotal!$G$31^2),E68*(calTotal!$G$104^2))</f>
        <v>106.19099235303432</v>
      </c>
      <c r="G68" s="98">
        <f>IF(calTotal!$G$39="-",0,IF(OR(calTotal!$E$11="Nominal",calTotal!$E$11="Maximum"),IF(AND(calTotal!$G$39&gt;=1.14,calTotal!$G$39&lt;=1.3),((10.144*EXP(0.0051*D68))*(calTotal!$G$39^2)),((28.333*EXP(0.002*D68))*(calTotal!$G$39^2))),IF(calTotal!$G$39=1.14,((10.144*EXP(0.0051*D68))*(calTotal!$G$39^2)),((28.333*EXP(0.002*D68))*(calTotal!$G$39^2)))))</f>
        <v>0</v>
      </c>
      <c r="H68" s="99">
        <f>IF(Package="F324",SUM(calTotal!$D$30:$D$36)+calTotal!$M$19+F68+G68+calTotal!$N$28,IF(Package="F400",SUM(calTotal!$D$30:$D$35)+calTotal!$M$19+F68+G68+calTotal!$N$28,IF(OR(Package="W80",Package="F169"),SUM(calTotal!$D$103:$D$109)+F68+calTotal!$N$90,SUM(calTotal!$D$103:$D$108)+F68+calTotal!$N$90)))</f>
        <v>1684.5433188383333</v>
      </c>
    </row>
    <row r="69" spans="3:8" x14ac:dyDescent="0.35">
      <c r="C69" s="96">
        <v>67</v>
      </c>
      <c r="D69" s="92">
        <f>IF(OR(Package="F324",Package="F400"),calTotal!$E$16+(IF(calTotal!$E$18="None",calTotal!$E$21,calTotal!$E$20)*(H68*0.001)),calTotal!$E$89+(IF(calTotal!$E$91="None",calTotal!$E$94,calTotal!$E$93)*(H68*0.001)))</f>
        <v>111.34211007871819</v>
      </c>
      <c r="E69" s="92">
        <f>IF(OR(calTotal!$E$7="W80",calTotal!$E$7="Q100",calTotal!$E$7="Q144",calTotal!$E$7="F169",calTotal!$E$7="F256"),IF(calTotal!$E$9="Typical",IF(calTotal!$E$7="W80",(2.7909*EXP(0.0293*D69)/1.2),IF(OR(calTotal!$E$7="Q100",calTotal!$E$7="Q144"),(3.3892*EXP(0.0293*D69)/1.2),IF(calTotal!$E$7="F169",(2.7089*EXP(0.0293*D69)/1.2),IF(calTotal!$E$7="F256",(3.3892*EXP(0.0293*D69)/1.2),"Invalid")))),IF(calTotal!$E$9="Maximum",(7.2106*EXP(0.0293*D69)/1.2),"Invalid")),IF(OR(calTotal!$E$7="F324",calTotal!$E$7="F400"),IF(calTotal!$E$9="Typical",IF(calTotal!$E$7="F324",(19.1814*EXP(0.0181*D69)/1.2),IF(calTotal!$E$7="F400",(19.3955*EXP(0.0181*D69)/1.2),"Invalid")),IF(calTotal!$E$9="Maximum",(34.982*EXP(0.0181*D69)/1.2),"Invalid"))))</f>
        <v>73.743744689607169</v>
      </c>
      <c r="F69" s="98">
        <f>IF(OR(Package="F324",Package="F400"),E69*(calTotal!$G$31^2),E69*(calTotal!$G$104^2))</f>
        <v>106.19099235303432</v>
      </c>
      <c r="G69" s="98">
        <f>IF(calTotal!$G$39="-",0,IF(OR(calTotal!$E$11="Nominal",calTotal!$E$11="Maximum"),IF(AND(calTotal!$G$39&gt;=1.14,calTotal!$G$39&lt;=1.3),((10.144*EXP(0.0051*D69))*(calTotal!$G$39^2)),((28.333*EXP(0.002*D69))*(calTotal!$G$39^2))),IF(calTotal!$G$39=1.14,((10.144*EXP(0.0051*D69))*(calTotal!$G$39^2)),((28.333*EXP(0.002*D69))*(calTotal!$G$39^2)))))</f>
        <v>0</v>
      </c>
      <c r="H69" s="99">
        <f>IF(Package="F324",SUM(calTotal!$D$30:$D$36)+calTotal!$M$19+F69+G69+calTotal!$N$28,IF(Package="F400",SUM(calTotal!$D$30:$D$35)+calTotal!$M$19+F69+G69+calTotal!$N$28,IF(OR(Package="W80",Package="F169"),SUM(calTotal!$D$103:$D$109)+F69+calTotal!$N$90,SUM(calTotal!$D$103:$D$108)+F69+calTotal!$N$90)))</f>
        <v>1684.5433188383333</v>
      </c>
    </row>
    <row r="70" spans="3:8" x14ac:dyDescent="0.35">
      <c r="C70" s="96">
        <v>68</v>
      </c>
      <c r="D70" s="92">
        <f>IF(OR(Package="F324",Package="F400"),calTotal!$E$16+(IF(calTotal!$E$18="None",calTotal!$E$21,calTotal!$E$20)*(H69*0.001)),calTotal!$E$89+(IF(calTotal!$E$91="None",calTotal!$E$94,calTotal!$E$93)*(H69*0.001)))</f>
        <v>111.34211007871819</v>
      </c>
      <c r="E70" s="92">
        <f>IF(OR(calTotal!$E$7="W80",calTotal!$E$7="Q100",calTotal!$E$7="Q144",calTotal!$E$7="F169",calTotal!$E$7="F256"),IF(calTotal!$E$9="Typical",IF(calTotal!$E$7="W80",(2.7909*EXP(0.0293*D70)/1.2),IF(OR(calTotal!$E$7="Q100",calTotal!$E$7="Q144"),(3.3892*EXP(0.0293*D70)/1.2),IF(calTotal!$E$7="F169",(2.7089*EXP(0.0293*D70)/1.2),IF(calTotal!$E$7="F256",(3.3892*EXP(0.0293*D70)/1.2),"Invalid")))),IF(calTotal!$E$9="Maximum",(7.2106*EXP(0.0293*D70)/1.2),"Invalid")),IF(OR(calTotal!$E$7="F324",calTotal!$E$7="F400"),IF(calTotal!$E$9="Typical",IF(calTotal!$E$7="F324",(19.1814*EXP(0.0181*D70)/1.2),IF(calTotal!$E$7="F400",(19.3955*EXP(0.0181*D70)/1.2),"Invalid")),IF(calTotal!$E$9="Maximum",(34.982*EXP(0.0181*D70)/1.2),"Invalid"))))</f>
        <v>73.743744689607169</v>
      </c>
      <c r="F70" s="98">
        <f>IF(OR(Package="F324",Package="F400"),E70*(calTotal!$G$31^2),E70*(calTotal!$G$104^2))</f>
        <v>106.19099235303432</v>
      </c>
      <c r="G70" s="98">
        <f>IF(calTotal!$G$39="-",0,IF(OR(calTotal!$E$11="Nominal",calTotal!$E$11="Maximum"),IF(AND(calTotal!$G$39&gt;=1.14,calTotal!$G$39&lt;=1.3),((10.144*EXP(0.0051*D70))*(calTotal!$G$39^2)),((28.333*EXP(0.002*D70))*(calTotal!$G$39^2))),IF(calTotal!$G$39=1.14,((10.144*EXP(0.0051*D70))*(calTotal!$G$39^2)),((28.333*EXP(0.002*D70))*(calTotal!$G$39^2)))))</f>
        <v>0</v>
      </c>
      <c r="H70" s="99">
        <f>IF(Package="F324",SUM(calTotal!$D$30:$D$36)+calTotal!$M$19+F70+G70+calTotal!$N$28,IF(Package="F400",SUM(calTotal!$D$30:$D$35)+calTotal!$M$19+F70+G70+calTotal!$N$28,IF(OR(Package="W80",Package="F169"),SUM(calTotal!$D$103:$D$109)+F70+calTotal!$N$90,SUM(calTotal!$D$103:$D$108)+F70+calTotal!$N$90)))</f>
        <v>1684.5433188383333</v>
      </c>
    </row>
    <row r="71" spans="3:8" x14ac:dyDescent="0.35">
      <c r="C71" s="96">
        <v>69</v>
      </c>
      <c r="D71" s="92">
        <f>IF(OR(Package="F324",Package="F400"),calTotal!$E$16+(IF(calTotal!$E$18="None",calTotal!$E$21,calTotal!$E$20)*(H70*0.001)),calTotal!$E$89+(IF(calTotal!$E$91="None",calTotal!$E$94,calTotal!$E$93)*(H70*0.001)))</f>
        <v>111.34211007871819</v>
      </c>
      <c r="E71" s="92">
        <f>IF(OR(calTotal!$E$7="W80",calTotal!$E$7="Q100",calTotal!$E$7="Q144",calTotal!$E$7="F169",calTotal!$E$7="F256"),IF(calTotal!$E$9="Typical",IF(calTotal!$E$7="W80",(2.7909*EXP(0.0293*D71)/1.2),IF(OR(calTotal!$E$7="Q100",calTotal!$E$7="Q144"),(3.3892*EXP(0.0293*D71)/1.2),IF(calTotal!$E$7="F169",(2.7089*EXP(0.0293*D71)/1.2),IF(calTotal!$E$7="F256",(3.3892*EXP(0.0293*D71)/1.2),"Invalid")))),IF(calTotal!$E$9="Maximum",(7.2106*EXP(0.0293*D71)/1.2),"Invalid")),IF(OR(calTotal!$E$7="F324",calTotal!$E$7="F400"),IF(calTotal!$E$9="Typical",IF(calTotal!$E$7="F324",(19.1814*EXP(0.0181*D71)/1.2),IF(calTotal!$E$7="F400",(19.3955*EXP(0.0181*D71)/1.2),"Invalid")),IF(calTotal!$E$9="Maximum",(34.982*EXP(0.0181*D71)/1.2),"Invalid"))))</f>
        <v>73.743744689607169</v>
      </c>
      <c r="F71" s="98">
        <f>IF(OR(Package="F324",Package="F400"),E71*(calTotal!$G$31^2),E71*(calTotal!$G$104^2))</f>
        <v>106.19099235303432</v>
      </c>
      <c r="G71" s="98">
        <f>IF(calTotal!$G$39="-",0,IF(OR(calTotal!$E$11="Nominal",calTotal!$E$11="Maximum"),IF(AND(calTotal!$G$39&gt;=1.14,calTotal!$G$39&lt;=1.3),((10.144*EXP(0.0051*D71))*(calTotal!$G$39^2)),((28.333*EXP(0.002*D71))*(calTotal!$G$39^2))),IF(calTotal!$G$39=1.14,((10.144*EXP(0.0051*D71))*(calTotal!$G$39^2)),((28.333*EXP(0.002*D71))*(calTotal!$G$39^2)))))</f>
        <v>0</v>
      </c>
      <c r="H71" s="99">
        <f>IF(Package="F324",SUM(calTotal!$D$30:$D$36)+calTotal!$M$19+F71+G71+calTotal!$N$28,IF(Package="F400",SUM(calTotal!$D$30:$D$35)+calTotal!$M$19+F71+G71+calTotal!$N$28,IF(OR(Package="W80",Package="F169"),SUM(calTotal!$D$103:$D$109)+F71+calTotal!$N$90,SUM(calTotal!$D$103:$D$108)+F71+calTotal!$N$90)))</f>
        <v>1684.5433188383333</v>
      </c>
    </row>
    <row r="72" spans="3:8" x14ac:dyDescent="0.35">
      <c r="C72" s="96">
        <v>70</v>
      </c>
      <c r="D72" s="92">
        <f>IF(OR(Package="F324",Package="F400"),calTotal!$E$16+(IF(calTotal!$E$18="None",calTotal!$E$21,calTotal!$E$20)*(H71*0.001)),calTotal!$E$89+(IF(calTotal!$E$91="None",calTotal!$E$94,calTotal!$E$93)*(H71*0.001)))</f>
        <v>111.34211007871819</v>
      </c>
      <c r="E72" s="92">
        <f>IF(OR(calTotal!$E$7="W80",calTotal!$E$7="Q100",calTotal!$E$7="Q144",calTotal!$E$7="F169",calTotal!$E$7="F256"),IF(calTotal!$E$9="Typical",IF(calTotal!$E$7="W80",(2.7909*EXP(0.0293*D72)/1.2),IF(OR(calTotal!$E$7="Q100",calTotal!$E$7="Q144"),(3.3892*EXP(0.0293*D72)/1.2),IF(calTotal!$E$7="F169",(2.7089*EXP(0.0293*D72)/1.2),IF(calTotal!$E$7="F256",(3.3892*EXP(0.0293*D72)/1.2),"Invalid")))),IF(calTotal!$E$9="Maximum",(7.2106*EXP(0.0293*D72)/1.2),"Invalid")),IF(OR(calTotal!$E$7="F324",calTotal!$E$7="F400"),IF(calTotal!$E$9="Typical",IF(calTotal!$E$7="F324",(19.1814*EXP(0.0181*D72)/1.2),IF(calTotal!$E$7="F400",(19.3955*EXP(0.0181*D72)/1.2),"Invalid")),IF(calTotal!$E$9="Maximum",(34.982*EXP(0.0181*D72)/1.2),"Invalid"))))</f>
        <v>73.743744689607169</v>
      </c>
      <c r="F72" s="98">
        <f>IF(OR(Package="F324",Package="F400"),E72*(calTotal!$G$31^2),E72*(calTotal!$G$104^2))</f>
        <v>106.19099235303432</v>
      </c>
      <c r="G72" s="98">
        <f>IF(calTotal!$G$39="-",0,IF(OR(calTotal!$E$11="Nominal",calTotal!$E$11="Maximum"),IF(AND(calTotal!$G$39&gt;=1.14,calTotal!$G$39&lt;=1.3),((10.144*EXP(0.0051*D72))*(calTotal!$G$39^2)),((28.333*EXP(0.002*D72))*(calTotal!$G$39^2))),IF(calTotal!$G$39=1.14,((10.144*EXP(0.0051*D72))*(calTotal!$G$39^2)),((28.333*EXP(0.002*D72))*(calTotal!$G$39^2)))))</f>
        <v>0</v>
      </c>
      <c r="H72" s="99">
        <f>IF(Package="F324",SUM(calTotal!$D$30:$D$36)+calTotal!$M$19+F72+G72+calTotal!$N$28,IF(Package="F400",SUM(calTotal!$D$30:$D$35)+calTotal!$M$19+F72+G72+calTotal!$N$28,IF(OR(Package="W80",Package="F169"),SUM(calTotal!$D$103:$D$109)+F72+calTotal!$N$90,SUM(calTotal!$D$103:$D$108)+F72+calTotal!$N$90)))</f>
        <v>1684.5433188383333</v>
      </c>
    </row>
    <row r="73" spans="3:8" x14ac:dyDescent="0.35">
      <c r="C73" s="96">
        <v>71</v>
      </c>
      <c r="D73" s="92">
        <f>IF(OR(Package="F324",Package="F400"),calTotal!$E$16+(IF(calTotal!$E$18="None",calTotal!$E$21,calTotal!$E$20)*(H72*0.001)),calTotal!$E$89+(IF(calTotal!$E$91="None",calTotal!$E$94,calTotal!$E$93)*(H72*0.001)))</f>
        <v>111.34211007871819</v>
      </c>
      <c r="E73" s="92">
        <f>IF(OR(calTotal!$E$7="W80",calTotal!$E$7="Q100",calTotal!$E$7="Q144",calTotal!$E$7="F169",calTotal!$E$7="F256"),IF(calTotal!$E$9="Typical",IF(calTotal!$E$7="W80",(2.7909*EXP(0.0293*D73)/1.2),IF(OR(calTotal!$E$7="Q100",calTotal!$E$7="Q144"),(3.3892*EXP(0.0293*D73)/1.2),IF(calTotal!$E$7="F169",(2.7089*EXP(0.0293*D73)/1.2),IF(calTotal!$E$7="F256",(3.3892*EXP(0.0293*D73)/1.2),"Invalid")))),IF(calTotal!$E$9="Maximum",(7.2106*EXP(0.0293*D73)/1.2),"Invalid")),IF(OR(calTotal!$E$7="F324",calTotal!$E$7="F400"),IF(calTotal!$E$9="Typical",IF(calTotal!$E$7="F324",(19.1814*EXP(0.0181*D73)/1.2),IF(calTotal!$E$7="F400",(19.3955*EXP(0.0181*D73)/1.2),"Invalid")),IF(calTotal!$E$9="Maximum",(34.982*EXP(0.0181*D73)/1.2),"Invalid"))))</f>
        <v>73.743744689607169</v>
      </c>
      <c r="F73" s="98">
        <f>IF(OR(Package="F324",Package="F400"),E73*(calTotal!$G$31^2),E73*(calTotal!$G$104^2))</f>
        <v>106.19099235303432</v>
      </c>
      <c r="G73" s="98">
        <f>IF(calTotal!$G$39="-",0,IF(OR(calTotal!$E$11="Nominal",calTotal!$E$11="Maximum"),IF(AND(calTotal!$G$39&gt;=1.14,calTotal!$G$39&lt;=1.3),((10.144*EXP(0.0051*D73))*(calTotal!$G$39^2)),((28.333*EXP(0.002*D73))*(calTotal!$G$39^2))),IF(calTotal!$G$39=1.14,((10.144*EXP(0.0051*D73))*(calTotal!$G$39^2)),((28.333*EXP(0.002*D73))*(calTotal!$G$39^2)))))</f>
        <v>0</v>
      </c>
      <c r="H73" s="99">
        <f>IF(Package="F324",SUM(calTotal!$D$30:$D$36)+calTotal!$M$19+F73+G73+calTotal!$N$28,IF(Package="F400",SUM(calTotal!$D$30:$D$35)+calTotal!$M$19+F73+G73+calTotal!$N$28,IF(OR(Package="W80",Package="F169"),SUM(calTotal!$D$103:$D$109)+F73+calTotal!$N$90,SUM(calTotal!$D$103:$D$108)+F73+calTotal!$N$90)))</f>
        <v>1684.5433188383333</v>
      </c>
    </row>
    <row r="74" spans="3:8" x14ac:dyDescent="0.35">
      <c r="C74" s="96">
        <v>72</v>
      </c>
      <c r="D74" s="92">
        <f>IF(OR(Package="F324",Package="F400"),calTotal!$E$16+(IF(calTotal!$E$18="None",calTotal!$E$21,calTotal!$E$20)*(H73*0.001)),calTotal!$E$89+(IF(calTotal!$E$91="None",calTotal!$E$94,calTotal!$E$93)*(H73*0.001)))</f>
        <v>111.34211007871819</v>
      </c>
      <c r="E74" s="92">
        <f>IF(OR(calTotal!$E$7="W80",calTotal!$E$7="Q100",calTotal!$E$7="Q144",calTotal!$E$7="F169",calTotal!$E$7="F256"),IF(calTotal!$E$9="Typical",IF(calTotal!$E$7="W80",(2.7909*EXP(0.0293*D74)/1.2),IF(OR(calTotal!$E$7="Q100",calTotal!$E$7="Q144"),(3.3892*EXP(0.0293*D74)/1.2),IF(calTotal!$E$7="F169",(2.7089*EXP(0.0293*D74)/1.2),IF(calTotal!$E$7="F256",(3.3892*EXP(0.0293*D74)/1.2),"Invalid")))),IF(calTotal!$E$9="Maximum",(7.2106*EXP(0.0293*D74)/1.2),"Invalid")),IF(OR(calTotal!$E$7="F324",calTotal!$E$7="F400"),IF(calTotal!$E$9="Typical",IF(calTotal!$E$7="F324",(19.1814*EXP(0.0181*D74)/1.2),IF(calTotal!$E$7="F400",(19.3955*EXP(0.0181*D74)/1.2),"Invalid")),IF(calTotal!$E$9="Maximum",(34.982*EXP(0.0181*D74)/1.2),"Invalid"))))</f>
        <v>73.743744689607169</v>
      </c>
      <c r="F74" s="98">
        <f>IF(OR(Package="F324",Package="F400"),E74*(calTotal!$G$31^2),E74*(calTotal!$G$104^2))</f>
        <v>106.19099235303432</v>
      </c>
      <c r="G74" s="98">
        <f>IF(calTotal!$G$39="-",0,IF(OR(calTotal!$E$11="Nominal",calTotal!$E$11="Maximum"),IF(AND(calTotal!$G$39&gt;=1.14,calTotal!$G$39&lt;=1.3),((10.144*EXP(0.0051*D74))*(calTotal!$G$39^2)),((28.333*EXP(0.002*D74))*(calTotal!$G$39^2))),IF(calTotal!$G$39=1.14,((10.144*EXP(0.0051*D74))*(calTotal!$G$39^2)),((28.333*EXP(0.002*D74))*(calTotal!$G$39^2)))))</f>
        <v>0</v>
      </c>
      <c r="H74" s="99">
        <f>IF(Package="F324",SUM(calTotal!$D$30:$D$36)+calTotal!$M$19+F74+G74+calTotal!$N$28,IF(Package="F400",SUM(calTotal!$D$30:$D$35)+calTotal!$M$19+F74+G74+calTotal!$N$28,IF(OR(Package="W80",Package="F169"),SUM(calTotal!$D$103:$D$109)+F74+calTotal!$N$90,SUM(calTotal!$D$103:$D$108)+F74+calTotal!$N$90)))</f>
        <v>1684.5433188383333</v>
      </c>
    </row>
    <row r="75" spans="3:8" x14ac:dyDescent="0.35">
      <c r="C75" s="96">
        <v>73</v>
      </c>
      <c r="D75" s="92">
        <f>IF(OR(Package="F324",Package="F400"),calTotal!$E$16+(IF(calTotal!$E$18="None",calTotal!$E$21,calTotal!$E$20)*(H74*0.001)),calTotal!$E$89+(IF(calTotal!$E$91="None",calTotal!$E$94,calTotal!$E$93)*(H74*0.001)))</f>
        <v>111.34211007871819</v>
      </c>
      <c r="E75" s="92">
        <f>IF(OR(calTotal!$E$7="W80",calTotal!$E$7="Q100",calTotal!$E$7="Q144",calTotal!$E$7="F169",calTotal!$E$7="F256"),IF(calTotal!$E$9="Typical",IF(calTotal!$E$7="W80",(2.7909*EXP(0.0293*D75)/1.2),IF(OR(calTotal!$E$7="Q100",calTotal!$E$7="Q144"),(3.3892*EXP(0.0293*D75)/1.2),IF(calTotal!$E$7="F169",(2.7089*EXP(0.0293*D75)/1.2),IF(calTotal!$E$7="F256",(3.3892*EXP(0.0293*D75)/1.2),"Invalid")))),IF(calTotal!$E$9="Maximum",(7.2106*EXP(0.0293*D75)/1.2),"Invalid")),IF(OR(calTotal!$E$7="F324",calTotal!$E$7="F400"),IF(calTotal!$E$9="Typical",IF(calTotal!$E$7="F324",(19.1814*EXP(0.0181*D75)/1.2),IF(calTotal!$E$7="F400",(19.3955*EXP(0.0181*D75)/1.2),"Invalid")),IF(calTotal!$E$9="Maximum",(34.982*EXP(0.0181*D75)/1.2),"Invalid"))))</f>
        <v>73.743744689607169</v>
      </c>
      <c r="F75" s="98">
        <f>IF(OR(Package="F324",Package="F400"),E75*(calTotal!$G$31^2),E75*(calTotal!$G$104^2))</f>
        <v>106.19099235303432</v>
      </c>
      <c r="G75" s="98">
        <f>IF(calTotal!$G$39="-",0,IF(OR(calTotal!$E$11="Nominal",calTotal!$E$11="Maximum"),IF(AND(calTotal!$G$39&gt;=1.14,calTotal!$G$39&lt;=1.3),((10.144*EXP(0.0051*D75))*(calTotal!$G$39^2)),((28.333*EXP(0.002*D75))*(calTotal!$G$39^2))),IF(calTotal!$G$39=1.14,((10.144*EXP(0.0051*D75))*(calTotal!$G$39^2)),((28.333*EXP(0.002*D75))*(calTotal!$G$39^2)))))</f>
        <v>0</v>
      </c>
      <c r="H75" s="99">
        <f>IF(Package="F324",SUM(calTotal!$D$30:$D$36)+calTotal!$M$19+F75+G75+calTotal!$N$28,IF(Package="F400",SUM(calTotal!$D$30:$D$35)+calTotal!$M$19+F75+G75+calTotal!$N$28,IF(OR(Package="W80",Package="F169"),SUM(calTotal!$D$103:$D$109)+F75+calTotal!$N$90,SUM(calTotal!$D$103:$D$108)+F75+calTotal!$N$90)))</f>
        <v>1684.5433188383333</v>
      </c>
    </row>
    <row r="76" spans="3:8" x14ac:dyDescent="0.35">
      <c r="C76" s="96">
        <v>74</v>
      </c>
      <c r="D76" s="92">
        <f>IF(OR(Package="F324",Package="F400"),calTotal!$E$16+(IF(calTotal!$E$18="None",calTotal!$E$21,calTotal!$E$20)*(H75*0.001)),calTotal!$E$89+(IF(calTotal!$E$91="None",calTotal!$E$94,calTotal!$E$93)*(H75*0.001)))</f>
        <v>111.34211007871819</v>
      </c>
      <c r="E76" s="92">
        <f>IF(OR(calTotal!$E$7="W80",calTotal!$E$7="Q100",calTotal!$E$7="Q144",calTotal!$E$7="F169",calTotal!$E$7="F256"),IF(calTotal!$E$9="Typical",IF(calTotal!$E$7="W80",(2.7909*EXP(0.0293*D76)/1.2),IF(OR(calTotal!$E$7="Q100",calTotal!$E$7="Q144"),(3.3892*EXP(0.0293*D76)/1.2),IF(calTotal!$E$7="F169",(2.7089*EXP(0.0293*D76)/1.2),IF(calTotal!$E$7="F256",(3.3892*EXP(0.0293*D76)/1.2),"Invalid")))),IF(calTotal!$E$9="Maximum",(7.2106*EXP(0.0293*D76)/1.2),"Invalid")),IF(OR(calTotal!$E$7="F324",calTotal!$E$7="F400"),IF(calTotal!$E$9="Typical",IF(calTotal!$E$7="F324",(19.1814*EXP(0.0181*D76)/1.2),IF(calTotal!$E$7="F400",(19.3955*EXP(0.0181*D76)/1.2),"Invalid")),IF(calTotal!$E$9="Maximum",(34.982*EXP(0.0181*D76)/1.2),"Invalid"))))</f>
        <v>73.743744689607169</v>
      </c>
      <c r="F76" s="98">
        <f>IF(OR(Package="F324",Package="F400"),E76*(calTotal!$G$31^2),E76*(calTotal!$G$104^2))</f>
        <v>106.19099235303432</v>
      </c>
      <c r="G76" s="98">
        <f>IF(calTotal!$G$39="-",0,IF(OR(calTotal!$E$11="Nominal",calTotal!$E$11="Maximum"),IF(AND(calTotal!$G$39&gt;=1.14,calTotal!$G$39&lt;=1.3),((10.144*EXP(0.0051*D76))*(calTotal!$G$39^2)),((28.333*EXP(0.002*D76))*(calTotal!$G$39^2))),IF(calTotal!$G$39=1.14,((10.144*EXP(0.0051*D76))*(calTotal!$G$39^2)),((28.333*EXP(0.002*D76))*(calTotal!$G$39^2)))))</f>
        <v>0</v>
      </c>
      <c r="H76" s="99">
        <f>IF(Package="F324",SUM(calTotal!$D$30:$D$36)+calTotal!$M$19+F76+G76+calTotal!$N$28,IF(Package="F400",SUM(calTotal!$D$30:$D$35)+calTotal!$M$19+F76+G76+calTotal!$N$28,IF(OR(Package="W80",Package="F169"),SUM(calTotal!$D$103:$D$109)+F76+calTotal!$N$90,SUM(calTotal!$D$103:$D$108)+F76+calTotal!$N$90)))</f>
        <v>1684.5433188383333</v>
      </c>
    </row>
    <row r="77" spans="3:8" x14ac:dyDescent="0.35">
      <c r="C77" s="96">
        <v>75</v>
      </c>
      <c r="D77" s="92">
        <f>IF(OR(Package="F324",Package="F400"),calTotal!$E$16+(IF(calTotal!$E$18="None",calTotal!$E$21,calTotal!$E$20)*(H76*0.001)),calTotal!$E$89+(IF(calTotal!$E$91="None",calTotal!$E$94,calTotal!$E$93)*(H76*0.001)))</f>
        <v>111.34211007871819</v>
      </c>
      <c r="E77" s="92">
        <f>IF(OR(calTotal!$E$7="W80",calTotal!$E$7="Q100",calTotal!$E$7="Q144",calTotal!$E$7="F169",calTotal!$E$7="F256"),IF(calTotal!$E$9="Typical",IF(calTotal!$E$7="W80",(2.7909*EXP(0.0293*D77)/1.2),IF(OR(calTotal!$E$7="Q100",calTotal!$E$7="Q144"),(3.3892*EXP(0.0293*D77)/1.2),IF(calTotal!$E$7="F169",(2.7089*EXP(0.0293*D77)/1.2),IF(calTotal!$E$7="F256",(3.3892*EXP(0.0293*D77)/1.2),"Invalid")))),IF(calTotal!$E$9="Maximum",(7.2106*EXP(0.0293*D77)/1.2),"Invalid")),IF(OR(calTotal!$E$7="F324",calTotal!$E$7="F400"),IF(calTotal!$E$9="Typical",IF(calTotal!$E$7="F324",(19.1814*EXP(0.0181*D77)/1.2),IF(calTotal!$E$7="F400",(19.3955*EXP(0.0181*D77)/1.2),"Invalid")),IF(calTotal!$E$9="Maximum",(34.982*EXP(0.0181*D77)/1.2),"Invalid"))))</f>
        <v>73.743744689607169</v>
      </c>
      <c r="F77" s="98">
        <f>IF(OR(Package="F324",Package="F400"),E77*(calTotal!$G$31^2),E77*(calTotal!$G$104^2))</f>
        <v>106.19099235303432</v>
      </c>
      <c r="G77" s="98">
        <f>IF(calTotal!$G$39="-",0,IF(OR(calTotal!$E$11="Nominal",calTotal!$E$11="Maximum"),IF(AND(calTotal!$G$39&gt;=1.14,calTotal!$G$39&lt;=1.3),((10.144*EXP(0.0051*D77))*(calTotal!$G$39^2)),((28.333*EXP(0.002*D77))*(calTotal!$G$39^2))),IF(calTotal!$G$39=1.14,((10.144*EXP(0.0051*D77))*(calTotal!$G$39^2)),((28.333*EXP(0.002*D77))*(calTotal!$G$39^2)))))</f>
        <v>0</v>
      </c>
      <c r="H77" s="99">
        <f>IF(Package="F324",SUM(calTotal!$D$30:$D$36)+calTotal!$M$19+F77+G77+calTotal!$N$28,IF(Package="F400",SUM(calTotal!$D$30:$D$35)+calTotal!$M$19+F77+G77+calTotal!$N$28,IF(OR(Package="W80",Package="F169"),SUM(calTotal!$D$103:$D$109)+F77+calTotal!$N$90,SUM(calTotal!$D$103:$D$108)+F77+calTotal!$N$90)))</f>
        <v>1684.5433188383333</v>
      </c>
    </row>
    <row r="78" spans="3:8" x14ac:dyDescent="0.35">
      <c r="C78" s="96">
        <v>76</v>
      </c>
      <c r="D78" s="92">
        <f>IF(OR(Package="F324",Package="F400"),calTotal!$E$16+(IF(calTotal!$E$18="None",calTotal!$E$21,calTotal!$E$20)*(H77*0.001)),calTotal!$E$89+(IF(calTotal!$E$91="None",calTotal!$E$94,calTotal!$E$93)*(H77*0.001)))</f>
        <v>111.34211007871819</v>
      </c>
      <c r="E78" s="92">
        <f>IF(OR(calTotal!$E$7="W80",calTotal!$E$7="Q100",calTotal!$E$7="Q144",calTotal!$E$7="F169",calTotal!$E$7="F256"),IF(calTotal!$E$9="Typical",IF(calTotal!$E$7="W80",(2.7909*EXP(0.0293*D78)/1.2),IF(OR(calTotal!$E$7="Q100",calTotal!$E$7="Q144"),(3.3892*EXP(0.0293*D78)/1.2),IF(calTotal!$E$7="F169",(2.7089*EXP(0.0293*D78)/1.2),IF(calTotal!$E$7="F256",(3.3892*EXP(0.0293*D78)/1.2),"Invalid")))),IF(calTotal!$E$9="Maximum",(7.2106*EXP(0.0293*D78)/1.2),"Invalid")),IF(OR(calTotal!$E$7="F324",calTotal!$E$7="F400"),IF(calTotal!$E$9="Typical",IF(calTotal!$E$7="F324",(19.1814*EXP(0.0181*D78)/1.2),IF(calTotal!$E$7="F400",(19.3955*EXP(0.0181*D78)/1.2),"Invalid")),IF(calTotal!$E$9="Maximum",(34.982*EXP(0.0181*D78)/1.2),"Invalid"))))</f>
        <v>73.743744689607169</v>
      </c>
      <c r="F78" s="98">
        <f>IF(OR(Package="F324",Package="F400"),E78*(calTotal!$G$31^2),E78*(calTotal!$G$104^2))</f>
        <v>106.19099235303432</v>
      </c>
      <c r="G78" s="98">
        <f>IF(calTotal!$G$39="-",0,IF(OR(calTotal!$E$11="Nominal",calTotal!$E$11="Maximum"),IF(AND(calTotal!$G$39&gt;=1.14,calTotal!$G$39&lt;=1.3),((10.144*EXP(0.0051*D78))*(calTotal!$G$39^2)),((28.333*EXP(0.002*D78))*(calTotal!$G$39^2))),IF(calTotal!$G$39=1.14,((10.144*EXP(0.0051*D78))*(calTotal!$G$39^2)),((28.333*EXP(0.002*D78))*(calTotal!$G$39^2)))))</f>
        <v>0</v>
      </c>
      <c r="H78" s="99">
        <f>IF(Package="F324",SUM(calTotal!$D$30:$D$36)+calTotal!$M$19+F78+G78+calTotal!$N$28,IF(Package="F400",SUM(calTotal!$D$30:$D$35)+calTotal!$M$19+F78+G78+calTotal!$N$28,IF(OR(Package="W80",Package="F169"),SUM(calTotal!$D$103:$D$109)+F78+calTotal!$N$90,SUM(calTotal!$D$103:$D$108)+F78+calTotal!$N$90)))</f>
        <v>1684.5433188383333</v>
      </c>
    </row>
    <row r="79" spans="3:8" x14ac:dyDescent="0.35">
      <c r="C79" s="96">
        <v>77</v>
      </c>
      <c r="D79" s="92">
        <f>IF(OR(Package="F324",Package="F400"),calTotal!$E$16+(IF(calTotal!$E$18="None",calTotal!$E$21,calTotal!$E$20)*(H78*0.001)),calTotal!$E$89+(IF(calTotal!$E$91="None",calTotal!$E$94,calTotal!$E$93)*(H78*0.001)))</f>
        <v>111.34211007871819</v>
      </c>
      <c r="E79" s="92">
        <f>IF(OR(calTotal!$E$7="W80",calTotal!$E$7="Q100",calTotal!$E$7="Q144",calTotal!$E$7="F169",calTotal!$E$7="F256"),IF(calTotal!$E$9="Typical",IF(calTotal!$E$7="W80",(2.7909*EXP(0.0293*D79)/1.2),IF(OR(calTotal!$E$7="Q100",calTotal!$E$7="Q144"),(3.3892*EXP(0.0293*D79)/1.2),IF(calTotal!$E$7="F169",(2.7089*EXP(0.0293*D79)/1.2),IF(calTotal!$E$7="F256",(3.3892*EXP(0.0293*D79)/1.2),"Invalid")))),IF(calTotal!$E$9="Maximum",(7.2106*EXP(0.0293*D79)/1.2),"Invalid")),IF(OR(calTotal!$E$7="F324",calTotal!$E$7="F400"),IF(calTotal!$E$9="Typical",IF(calTotal!$E$7="F324",(19.1814*EXP(0.0181*D79)/1.2),IF(calTotal!$E$7="F400",(19.3955*EXP(0.0181*D79)/1.2),"Invalid")),IF(calTotal!$E$9="Maximum",(34.982*EXP(0.0181*D79)/1.2),"Invalid"))))</f>
        <v>73.743744689607169</v>
      </c>
      <c r="F79" s="98">
        <f>IF(OR(Package="F324",Package="F400"),E79*(calTotal!$G$31^2),E79*(calTotal!$G$104^2))</f>
        <v>106.19099235303432</v>
      </c>
      <c r="G79" s="98">
        <f>IF(calTotal!$G$39="-",0,IF(OR(calTotal!$E$11="Nominal",calTotal!$E$11="Maximum"),IF(AND(calTotal!$G$39&gt;=1.14,calTotal!$G$39&lt;=1.3),((10.144*EXP(0.0051*D79))*(calTotal!$G$39^2)),((28.333*EXP(0.002*D79))*(calTotal!$G$39^2))),IF(calTotal!$G$39=1.14,((10.144*EXP(0.0051*D79))*(calTotal!$G$39^2)),((28.333*EXP(0.002*D79))*(calTotal!$G$39^2)))))</f>
        <v>0</v>
      </c>
      <c r="H79" s="99">
        <f>IF(Package="F324",SUM(calTotal!$D$30:$D$36)+calTotal!$M$19+F79+G79+calTotal!$N$28,IF(Package="F400",SUM(calTotal!$D$30:$D$35)+calTotal!$M$19+F79+G79+calTotal!$N$28,IF(OR(Package="W80",Package="F169"),SUM(calTotal!$D$103:$D$109)+F79+calTotal!$N$90,SUM(calTotal!$D$103:$D$108)+F79+calTotal!$N$90)))</f>
        <v>1684.5433188383333</v>
      </c>
    </row>
    <row r="80" spans="3:8" x14ac:dyDescent="0.35">
      <c r="C80" s="96">
        <v>78</v>
      </c>
      <c r="D80" s="92">
        <f>IF(OR(Package="F324",Package="F400"),calTotal!$E$16+(IF(calTotal!$E$18="None",calTotal!$E$21,calTotal!$E$20)*(H79*0.001)),calTotal!$E$89+(IF(calTotal!$E$91="None",calTotal!$E$94,calTotal!$E$93)*(H79*0.001)))</f>
        <v>111.34211007871819</v>
      </c>
      <c r="E80" s="92">
        <f>IF(OR(calTotal!$E$7="W80",calTotal!$E$7="Q100",calTotal!$E$7="Q144",calTotal!$E$7="F169",calTotal!$E$7="F256"),IF(calTotal!$E$9="Typical",IF(calTotal!$E$7="W80",(2.7909*EXP(0.0293*D80)/1.2),IF(OR(calTotal!$E$7="Q100",calTotal!$E$7="Q144"),(3.3892*EXP(0.0293*D80)/1.2),IF(calTotal!$E$7="F169",(2.7089*EXP(0.0293*D80)/1.2),IF(calTotal!$E$7="F256",(3.3892*EXP(0.0293*D80)/1.2),"Invalid")))),IF(calTotal!$E$9="Maximum",(7.2106*EXP(0.0293*D80)/1.2),"Invalid")),IF(OR(calTotal!$E$7="F324",calTotal!$E$7="F400"),IF(calTotal!$E$9="Typical",IF(calTotal!$E$7="F324",(19.1814*EXP(0.0181*D80)/1.2),IF(calTotal!$E$7="F400",(19.3955*EXP(0.0181*D80)/1.2),"Invalid")),IF(calTotal!$E$9="Maximum",(34.982*EXP(0.0181*D80)/1.2),"Invalid"))))</f>
        <v>73.743744689607169</v>
      </c>
      <c r="F80" s="98">
        <f>IF(OR(Package="F324",Package="F400"),E80*(calTotal!$G$31^2),E80*(calTotal!$G$104^2))</f>
        <v>106.19099235303432</v>
      </c>
      <c r="G80" s="98">
        <f>IF(calTotal!$G$39="-",0,IF(OR(calTotal!$E$11="Nominal",calTotal!$E$11="Maximum"),IF(AND(calTotal!$G$39&gt;=1.14,calTotal!$G$39&lt;=1.3),((10.144*EXP(0.0051*D80))*(calTotal!$G$39^2)),((28.333*EXP(0.002*D80))*(calTotal!$G$39^2))),IF(calTotal!$G$39=1.14,((10.144*EXP(0.0051*D80))*(calTotal!$G$39^2)),((28.333*EXP(0.002*D80))*(calTotal!$G$39^2)))))</f>
        <v>0</v>
      </c>
      <c r="H80" s="99">
        <f>IF(Package="F324",SUM(calTotal!$D$30:$D$36)+calTotal!$M$19+F80+G80+calTotal!$N$28,IF(Package="F400",SUM(calTotal!$D$30:$D$35)+calTotal!$M$19+F80+G80+calTotal!$N$28,IF(OR(Package="W80",Package="F169"),SUM(calTotal!$D$103:$D$109)+F80+calTotal!$N$90,SUM(calTotal!$D$103:$D$108)+F80+calTotal!$N$90)))</f>
        <v>1684.5433188383333</v>
      </c>
    </row>
    <row r="81" spans="3:8" x14ac:dyDescent="0.35">
      <c r="C81" s="96">
        <v>79</v>
      </c>
      <c r="D81" s="92">
        <f>IF(OR(Package="F324",Package="F400"),calTotal!$E$16+(IF(calTotal!$E$18="None",calTotal!$E$21,calTotal!$E$20)*(H80*0.001)),calTotal!$E$89+(IF(calTotal!$E$91="None",calTotal!$E$94,calTotal!$E$93)*(H80*0.001)))</f>
        <v>111.34211007871819</v>
      </c>
      <c r="E81" s="92">
        <f>IF(OR(calTotal!$E$7="W80",calTotal!$E$7="Q100",calTotal!$E$7="Q144",calTotal!$E$7="F169",calTotal!$E$7="F256"),IF(calTotal!$E$9="Typical",IF(calTotal!$E$7="W80",(2.7909*EXP(0.0293*D81)/1.2),IF(OR(calTotal!$E$7="Q100",calTotal!$E$7="Q144"),(3.3892*EXP(0.0293*D81)/1.2),IF(calTotal!$E$7="F169",(2.7089*EXP(0.0293*D81)/1.2),IF(calTotal!$E$7="F256",(3.3892*EXP(0.0293*D81)/1.2),"Invalid")))),IF(calTotal!$E$9="Maximum",(7.2106*EXP(0.0293*D81)/1.2),"Invalid")),IF(OR(calTotal!$E$7="F324",calTotal!$E$7="F400"),IF(calTotal!$E$9="Typical",IF(calTotal!$E$7="F324",(19.1814*EXP(0.0181*D81)/1.2),IF(calTotal!$E$7="F400",(19.3955*EXP(0.0181*D81)/1.2),"Invalid")),IF(calTotal!$E$9="Maximum",(34.982*EXP(0.0181*D81)/1.2),"Invalid"))))</f>
        <v>73.743744689607169</v>
      </c>
      <c r="F81" s="98">
        <f>IF(OR(Package="F324",Package="F400"),E81*(calTotal!$G$31^2),E81*(calTotal!$G$104^2))</f>
        <v>106.19099235303432</v>
      </c>
      <c r="G81" s="98">
        <f>IF(calTotal!$G$39="-",0,IF(OR(calTotal!$E$11="Nominal",calTotal!$E$11="Maximum"),IF(AND(calTotal!$G$39&gt;=1.14,calTotal!$G$39&lt;=1.3),((10.144*EXP(0.0051*D81))*(calTotal!$G$39^2)),((28.333*EXP(0.002*D81))*(calTotal!$G$39^2))),IF(calTotal!$G$39=1.14,((10.144*EXP(0.0051*D81))*(calTotal!$G$39^2)),((28.333*EXP(0.002*D81))*(calTotal!$G$39^2)))))</f>
        <v>0</v>
      </c>
      <c r="H81" s="99">
        <f>IF(Package="F324",SUM(calTotal!$D$30:$D$36)+calTotal!$M$19+F81+G81+calTotal!$N$28,IF(Package="F400",SUM(calTotal!$D$30:$D$35)+calTotal!$M$19+F81+G81+calTotal!$N$28,IF(OR(Package="W80",Package="F169"),SUM(calTotal!$D$103:$D$109)+F81+calTotal!$N$90,SUM(calTotal!$D$103:$D$108)+F81+calTotal!$N$90)))</f>
        <v>1684.5433188383333</v>
      </c>
    </row>
    <row r="82" spans="3:8" x14ac:dyDescent="0.35">
      <c r="C82" s="96">
        <v>80</v>
      </c>
      <c r="D82" s="92">
        <f>IF(OR(Package="F324",Package="F400"),calTotal!$E$16+(IF(calTotal!$E$18="None",calTotal!$E$21,calTotal!$E$20)*(H81*0.001)),calTotal!$E$89+(IF(calTotal!$E$91="None",calTotal!$E$94,calTotal!$E$93)*(H81*0.001)))</f>
        <v>111.34211007871819</v>
      </c>
      <c r="E82" s="92">
        <f>IF(OR(calTotal!$E$7="W80",calTotal!$E$7="Q100",calTotal!$E$7="Q144",calTotal!$E$7="F169",calTotal!$E$7="F256"),IF(calTotal!$E$9="Typical",IF(calTotal!$E$7="W80",(2.7909*EXP(0.0293*D82)/1.2),IF(OR(calTotal!$E$7="Q100",calTotal!$E$7="Q144"),(3.3892*EXP(0.0293*D82)/1.2),IF(calTotal!$E$7="F169",(2.7089*EXP(0.0293*D82)/1.2),IF(calTotal!$E$7="F256",(3.3892*EXP(0.0293*D82)/1.2),"Invalid")))),IF(calTotal!$E$9="Maximum",(7.2106*EXP(0.0293*D82)/1.2),"Invalid")),IF(OR(calTotal!$E$7="F324",calTotal!$E$7="F400"),IF(calTotal!$E$9="Typical",IF(calTotal!$E$7="F324",(19.1814*EXP(0.0181*D82)/1.2),IF(calTotal!$E$7="F400",(19.3955*EXP(0.0181*D82)/1.2),"Invalid")),IF(calTotal!$E$9="Maximum",(34.982*EXP(0.0181*D82)/1.2),"Invalid"))))</f>
        <v>73.743744689607169</v>
      </c>
      <c r="F82" s="98">
        <f>IF(OR(Package="F324",Package="F400"),E82*(calTotal!$G$31^2),E82*(calTotal!$G$104^2))</f>
        <v>106.19099235303432</v>
      </c>
      <c r="G82" s="98">
        <f>IF(calTotal!$G$39="-",0,IF(OR(calTotal!$E$11="Nominal",calTotal!$E$11="Maximum"),IF(AND(calTotal!$G$39&gt;=1.14,calTotal!$G$39&lt;=1.3),((10.144*EXP(0.0051*D82))*(calTotal!$G$39^2)),((28.333*EXP(0.002*D82))*(calTotal!$G$39^2))),IF(calTotal!$G$39=1.14,((10.144*EXP(0.0051*D82))*(calTotal!$G$39^2)),((28.333*EXP(0.002*D82))*(calTotal!$G$39^2)))))</f>
        <v>0</v>
      </c>
      <c r="H82" s="99">
        <f>IF(Package="F324",SUM(calTotal!$D$30:$D$36)+calTotal!$M$19+F82+G82+calTotal!$N$28,IF(Package="F400",SUM(calTotal!$D$30:$D$35)+calTotal!$M$19+F82+G82+calTotal!$N$28,IF(OR(Package="W80",Package="F169"),SUM(calTotal!$D$103:$D$109)+F82+calTotal!$N$90,SUM(calTotal!$D$103:$D$108)+F82+calTotal!$N$90)))</f>
        <v>1684.5433188383333</v>
      </c>
    </row>
    <row r="83" spans="3:8" x14ac:dyDescent="0.35">
      <c r="C83" s="96">
        <v>81</v>
      </c>
      <c r="D83" s="92">
        <f>IF(OR(Package="F324",Package="F400"),calTotal!$E$16+(IF(calTotal!$E$18="None",calTotal!$E$21,calTotal!$E$20)*(H82*0.001)),calTotal!$E$89+(IF(calTotal!$E$91="None",calTotal!$E$94,calTotal!$E$93)*(H82*0.001)))</f>
        <v>111.34211007871819</v>
      </c>
      <c r="E83" s="92">
        <f>IF(OR(calTotal!$E$7="W80",calTotal!$E$7="Q100",calTotal!$E$7="Q144",calTotal!$E$7="F169",calTotal!$E$7="F256"),IF(calTotal!$E$9="Typical",IF(calTotal!$E$7="W80",(2.7909*EXP(0.0293*D83)/1.2),IF(OR(calTotal!$E$7="Q100",calTotal!$E$7="Q144"),(3.3892*EXP(0.0293*D83)/1.2),IF(calTotal!$E$7="F169",(2.7089*EXP(0.0293*D83)/1.2),IF(calTotal!$E$7="F256",(3.3892*EXP(0.0293*D83)/1.2),"Invalid")))),IF(calTotal!$E$9="Maximum",(7.2106*EXP(0.0293*D83)/1.2),"Invalid")),IF(OR(calTotal!$E$7="F324",calTotal!$E$7="F400"),IF(calTotal!$E$9="Typical",IF(calTotal!$E$7="F324",(19.1814*EXP(0.0181*D83)/1.2),IF(calTotal!$E$7="F400",(19.3955*EXP(0.0181*D83)/1.2),"Invalid")),IF(calTotal!$E$9="Maximum",(34.982*EXP(0.0181*D83)/1.2),"Invalid"))))</f>
        <v>73.743744689607169</v>
      </c>
      <c r="F83" s="98">
        <f>IF(OR(Package="F324",Package="F400"),E83*(calTotal!$G$31^2),E83*(calTotal!$G$104^2))</f>
        <v>106.19099235303432</v>
      </c>
      <c r="G83" s="98">
        <f>IF(calTotal!$G$39="-",0,IF(OR(calTotal!$E$11="Nominal",calTotal!$E$11="Maximum"),IF(AND(calTotal!$G$39&gt;=1.14,calTotal!$G$39&lt;=1.3),((10.144*EXP(0.0051*D83))*(calTotal!$G$39^2)),((28.333*EXP(0.002*D83))*(calTotal!$G$39^2))),IF(calTotal!$G$39=1.14,((10.144*EXP(0.0051*D83))*(calTotal!$G$39^2)),((28.333*EXP(0.002*D83))*(calTotal!$G$39^2)))))</f>
        <v>0</v>
      </c>
      <c r="H83" s="99">
        <f>IF(Package="F324",SUM(calTotal!$D$30:$D$36)+calTotal!$M$19+F83+G83+calTotal!$N$28,IF(Package="F400",SUM(calTotal!$D$30:$D$35)+calTotal!$M$19+F83+G83+calTotal!$N$28,IF(OR(Package="W80",Package="F169"),SUM(calTotal!$D$103:$D$109)+F83+calTotal!$N$90,SUM(calTotal!$D$103:$D$108)+F83+calTotal!$N$90)))</f>
        <v>1684.5433188383333</v>
      </c>
    </row>
    <row r="84" spans="3:8" x14ac:dyDescent="0.35">
      <c r="C84" s="96">
        <v>82</v>
      </c>
      <c r="D84" s="92">
        <f>IF(OR(Package="F324",Package="F400"),calTotal!$E$16+(IF(calTotal!$E$18="None",calTotal!$E$21,calTotal!$E$20)*(H83*0.001)),calTotal!$E$89+(IF(calTotal!$E$91="None",calTotal!$E$94,calTotal!$E$93)*(H83*0.001)))</f>
        <v>111.34211007871819</v>
      </c>
      <c r="E84" s="92">
        <f>IF(OR(calTotal!$E$7="W80",calTotal!$E$7="Q100",calTotal!$E$7="Q144",calTotal!$E$7="F169",calTotal!$E$7="F256"),IF(calTotal!$E$9="Typical",IF(calTotal!$E$7="W80",(2.7909*EXP(0.0293*D84)/1.2),IF(OR(calTotal!$E$7="Q100",calTotal!$E$7="Q144"),(3.3892*EXP(0.0293*D84)/1.2),IF(calTotal!$E$7="F169",(2.7089*EXP(0.0293*D84)/1.2),IF(calTotal!$E$7="F256",(3.3892*EXP(0.0293*D84)/1.2),"Invalid")))),IF(calTotal!$E$9="Maximum",(7.2106*EXP(0.0293*D84)/1.2),"Invalid")),IF(OR(calTotal!$E$7="F324",calTotal!$E$7="F400"),IF(calTotal!$E$9="Typical",IF(calTotal!$E$7="F324",(19.1814*EXP(0.0181*D84)/1.2),IF(calTotal!$E$7="F400",(19.3955*EXP(0.0181*D84)/1.2),"Invalid")),IF(calTotal!$E$9="Maximum",(34.982*EXP(0.0181*D84)/1.2),"Invalid"))))</f>
        <v>73.743744689607169</v>
      </c>
      <c r="F84" s="98">
        <f>IF(OR(Package="F324",Package="F400"),E84*(calTotal!$G$31^2),E84*(calTotal!$G$104^2))</f>
        <v>106.19099235303432</v>
      </c>
      <c r="G84" s="98">
        <f>IF(calTotal!$G$39="-",0,IF(OR(calTotal!$E$11="Nominal",calTotal!$E$11="Maximum"),IF(AND(calTotal!$G$39&gt;=1.14,calTotal!$G$39&lt;=1.3),((10.144*EXP(0.0051*D84))*(calTotal!$G$39^2)),((28.333*EXP(0.002*D84))*(calTotal!$G$39^2))),IF(calTotal!$G$39=1.14,((10.144*EXP(0.0051*D84))*(calTotal!$G$39^2)),((28.333*EXP(0.002*D84))*(calTotal!$G$39^2)))))</f>
        <v>0</v>
      </c>
      <c r="H84" s="99">
        <f>IF(Package="F324",SUM(calTotal!$D$30:$D$36)+calTotal!$M$19+F84+G84+calTotal!$N$28,IF(Package="F400",SUM(calTotal!$D$30:$D$35)+calTotal!$M$19+F84+G84+calTotal!$N$28,IF(OR(Package="W80",Package="F169"),SUM(calTotal!$D$103:$D$109)+F84+calTotal!$N$90,SUM(calTotal!$D$103:$D$108)+F84+calTotal!$N$90)))</f>
        <v>1684.5433188383333</v>
      </c>
    </row>
    <row r="85" spans="3:8" x14ac:dyDescent="0.35">
      <c r="C85" s="96">
        <v>83</v>
      </c>
      <c r="D85" s="92">
        <f>IF(OR(Package="F324",Package="F400"),calTotal!$E$16+(IF(calTotal!$E$18="None",calTotal!$E$21,calTotal!$E$20)*(H84*0.001)),calTotal!$E$89+(IF(calTotal!$E$91="None",calTotal!$E$94,calTotal!$E$93)*(H84*0.001)))</f>
        <v>111.34211007871819</v>
      </c>
      <c r="E85" s="92">
        <f>IF(OR(calTotal!$E$7="W80",calTotal!$E$7="Q100",calTotal!$E$7="Q144",calTotal!$E$7="F169",calTotal!$E$7="F256"),IF(calTotal!$E$9="Typical",IF(calTotal!$E$7="W80",(2.7909*EXP(0.0293*D85)/1.2),IF(OR(calTotal!$E$7="Q100",calTotal!$E$7="Q144"),(3.3892*EXP(0.0293*D85)/1.2),IF(calTotal!$E$7="F169",(2.7089*EXP(0.0293*D85)/1.2),IF(calTotal!$E$7="F256",(3.3892*EXP(0.0293*D85)/1.2),"Invalid")))),IF(calTotal!$E$9="Maximum",(7.2106*EXP(0.0293*D85)/1.2),"Invalid")),IF(OR(calTotal!$E$7="F324",calTotal!$E$7="F400"),IF(calTotal!$E$9="Typical",IF(calTotal!$E$7="F324",(19.1814*EXP(0.0181*D85)/1.2),IF(calTotal!$E$7="F400",(19.3955*EXP(0.0181*D85)/1.2),"Invalid")),IF(calTotal!$E$9="Maximum",(34.982*EXP(0.0181*D85)/1.2),"Invalid"))))</f>
        <v>73.743744689607169</v>
      </c>
      <c r="F85" s="98">
        <f>IF(OR(Package="F324",Package="F400"),E85*(calTotal!$G$31^2),E85*(calTotal!$G$104^2))</f>
        <v>106.19099235303432</v>
      </c>
      <c r="G85" s="98">
        <f>IF(calTotal!$G$39="-",0,IF(OR(calTotal!$E$11="Nominal",calTotal!$E$11="Maximum"),IF(AND(calTotal!$G$39&gt;=1.14,calTotal!$G$39&lt;=1.3),((10.144*EXP(0.0051*D85))*(calTotal!$G$39^2)),((28.333*EXP(0.002*D85))*(calTotal!$G$39^2))),IF(calTotal!$G$39=1.14,((10.144*EXP(0.0051*D85))*(calTotal!$G$39^2)),((28.333*EXP(0.002*D85))*(calTotal!$G$39^2)))))</f>
        <v>0</v>
      </c>
      <c r="H85" s="99">
        <f>IF(Package="F324",SUM(calTotal!$D$30:$D$36)+calTotal!$M$19+F85+G85+calTotal!$N$28,IF(Package="F400",SUM(calTotal!$D$30:$D$35)+calTotal!$M$19+F85+G85+calTotal!$N$28,IF(OR(Package="W80",Package="F169"),SUM(calTotal!$D$103:$D$109)+F85+calTotal!$N$90,SUM(calTotal!$D$103:$D$108)+F85+calTotal!$N$90)))</f>
        <v>1684.5433188383333</v>
      </c>
    </row>
    <row r="86" spans="3:8" x14ac:dyDescent="0.35">
      <c r="C86" s="96">
        <v>84</v>
      </c>
      <c r="D86" s="92">
        <f>IF(OR(Package="F324",Package="F400"),calTotal!$E$16+(IF(calTotal!$E$18="None",calTotal!$E$21,calTotal!$E$20)*(H85*0.001)),calTotal!$E$89+(IF(calTotal!$E$91="None",calTotal!$E$94,calTotal!$E$93)*(H85*0.001)))</f>
        <v>111.34211007871819</v>
      </c>
      <c r="E86" s="92">
        <f>IF(OR(calTotal!$E$7="W80",calTotal!$E$7="Q100",calTotal!$E$7="Q144",calTotal!$E$7="F169",calTotal!$E$7="F256"),IF(calTotal!$E$9="Typical",IF(calTotal!$E$7="W80",(2.7909*EXP(0.0293*D86)/1.2),IF(OR(calTotal!$E$7="Q100",calTotal!$E$7="Q144"),(3.3892*EXP(0.0293*D86)/1.2),IF(calTotal!$E$7="F169",(2.7089*EXP(0.0293*D86)/1.2),IF(calTotal!$E$7="F256",(3.3892*EXP(0.0293*D86)/1.2),"Invalid")))),IF(calTotal!$E$9="Maximum",(7.2106*EXP(0.0293*D86)/1.2),"Invalid")),IF(OR(calTotal!$E$7="F324",calTotal!$E$7="F400"),IF(calTotal!$E$9="Typical",IF(calTotal!$E$7="F324",(19.1814*EXP(0.0181*D86)/1.2),IF(calTotal!$E$7="F400",(19.3955*EXP(0.0181*D86)/1.2),"Invalid")),IF(calTotal!$E$9="Maximum",(34.982*EXP(0.0181*D86)/1.2),"Invalid"))))</f>
        <v>73.743744689607169</v>
      </c>
      <c r="F86" s="98">
        <f>IF(OR(Package="F324",Package="F400"),E86*(calTotal!$G$31^2),E86*(calTotal!$G$104^2))</f>
        <v>106.19099235303432</v>
      </c>
      <c r="G86" s="98">
        <f>IF(calTotal!$G$39="-",0,IF(OR(calTotal!$E$11="Nominal",calTotal!$E$11="Maximum"),IF(AND(calTotal!$G$39&gt;=1.14,calTotal!$G$39&lt;=1.3),((10.144*EXP(0.0051*D86))*(calTotal!$G$39^2)),((28.333*EXP(0.002*D86))*(calTotal!$G$39^2))),IF(calTotal!$G$39=1.14,((10.144*EXP(0.0051*D86))*(calTotal!$G$39^2)),((28.333*EXP(0.002*D86))*(calTotal!$G$39^2)))))</f>
        <v>0</v>
      </c>
      <c r="H86" s="99">
        <f>IF(Package="F324",SUM(calTotal!$D$30:$D$36)+calTotal!$M$19+F86+G86+calTotal!$N$28,IF(Package="F400",SUM(calTotal!$D$30:$D$35)+calTotal!$M$19+F86+G86+calTotal!$N$28,IF(OR(Package="W80",Package="F169"),SUM(calTotal!$D$103:$D$109)+F86+calTotal!$N$90,SUM(calTotal!$D$103:$D$108)+F86+calTotal!$N$90)))</f>
        <v>1684.5433188383333</v>
      </c>
    </row>
    <row r="87" spans="3:8" x14ac:dyDescent="0.35">
      <c r="C87" s="96">
        <v>85</v>
      </c>
      <c r="D87" s="92">
        <f>IF(OR(Package="F324",Package="F400"),calTotal!$E$16+(IF(calTotal!$E$18="None",calTotal!$E$21,calTotal!$E$20)*(H86*0.001)),calTotal!$E$89+(IF(calTotal!$E$91="None",calTotal!$E$94,calTotal!$E$93)*(H86*0.001)))</f>
        <v>111.34211007871819</v>
      </c>
      <c r="E87" s="92">
        <f>IF(OR(calTotal!$E$7="W80",calTotal!$E$7="Q100",calTotal!$E$7="Q144",calTotal!$E$7="F169",calTotal!$E$7="F256"),IF(calTotal!$E$9="Typical",IF(calTotal!$E$7="W80",(2.7909*EXP(0.0293*D87)/1.2),IF(OR(calTotal!$E$7="Q100",calTotal!$E$7="Q144"),(3.3892*EXP(0.0293*D87)/1.2),IF(calTotal!$E$7="F169",(2.7089*EXP(0.0293*D87)/1.2),IF(calTotal!$E$7="F256",(3.3892*EXP(0.0293*D87)/1.2),"Invalid")))),IF(calTotal!$E$9="Maximum",(7.2106*EXP(0.0293*D87)/1.2),"Invalid")),IF(OR(calTotal!$E$7="F324",calTotal!$E$7="F400"),IF(calTotal!$E$9="Typical",IF(calTotal!$E$7="F324",(19.1814*EXP(0.0181*D87)/1.2),IF(calTotal!$E$7="F400",(19.3955*EXP(0.0181*D87)/1.2),"Invalid")),IF(calTotal!$E$9="Maximum",(34.982*EXP(0.0181*D87)/1.2),"Invalid"))))</f>
        <v>73.743744689607169</v>
      </c>
      <c r="F87" s="98">
        <f>IF(OR(Package="F324",Package="F400"),E87*(calTotal!$G$31^2),E87*(calTotal!$G$104^2))</f>
        <v>106.19099235303432</v>
      </c>
      <c r="G87" s="98">
        <f>IF(calTotal!$G$39="-",0,IF(OR(calTotal!$E$11="Nominal",calTotal!$E$11="Maximum"),IF(AND(calTotal!$G$39&gt;=1.14,calTotal!$G$39&lt;=1.3),((10.144*EXP(0.0051*D87))*(calTotal!$G$39^2)),((28.333*EXP(0.002*D87))*(calTotal!$G$39^2))),IF(calTotal!$G$39=1.14,((10.144*EXP(0.0051*D87))*(calTotal!$G$39^2)),((28.333*EXP(0.002*D87))*(calTotal!$G$39^2)))))</f>
        <v>0</v>
      </c>
      <c r="H87" s="99">
        <f>IF(Package="F324",SUM(calTotal!$D$30:$D$36)+calTotal!$M$19+F87+G87+calTotal!$N$28,IF(Package="F400",SUM(calTotal!$D$30:$D$35)+calTotal!$M$19+F87+G87+calTotal!$N$28,IF(OR(Package="W80",Package="F169"),SUM(calTotal!$D$103:$D$109)+F87+calTotal!$N$90,SUM(calTotal!$D$103:$D$108)+F87+calTotal!$N$90)))</f>
        <v>1684.5433188383333</v>
      </c>
    </row>
    <row r="88" spans="3:8" x14ac:dyDescent="0.35">
      <c r="C88" s="96">
        <v>86</v>
      </c>
      <c r="D88" s="92">
        <f>IF(OR(Package="F324",Package="F400"),calTotal!$E$16+(IF(calTotal!$E$18="None",calTotal!$E$21,calTotal!$E$20)*(H87*0.001)),calTotal!$E$89+(IF(calTotal!$E$91="None",calTotal!$E$94,calTotal!$E$93)*(H87*0.001)))</f>
        <v>111.34211007871819</v>
      </c>
      <c r="E88" s="92">
        <f>IF(OR(calTotal!$E$7="W80",calTotal!$E$7="Q100",calTotal!$E$7="Q144",calTotal!$E$7="F169",calTotal!$E$7="F256"),IF(calTotal!$E$9="Typical",IF(calTotal!$E$7="W80",(2.7909*EXP(0.0293*D88)/1.2),IF(OR(calTotal!$E$7="Q100",calTotal!$E$7="Q144"),(3.3892*EXP(0.0293*D88)/1.2),IF(calTotal!$E$7="F169",(2.7089*EXP(0.0293*D88)/1.2),IF(calTotal!$E$7="F256",(3.3892*EXP(0.0293*D88)/1.2),"Invalid")))),IF(calTotal!$E$9="Maximum",(7.2106*EXP(0.0293*D88)/1.2),"Invalid")),IF(OR(calTotal!$E$7="F324",calTotal!$E$7="F400"),IF(calTotal!$E$9="Typical",IF(calTotal!$E$7="F324",(19.1814*EXP(0.0181*D88)/1.2),IF(calTotal!$E$7="F400",(19.3955*EXP(0.0181*D88)/1.2),"Invalid")),IF(calTotal!$E$9="Maximum",(34.982*EXP(0.0181*D88)/1.2),"Invalid"))))</f>
        <v>73.743744689607169</v>
      </c>
      <c r="F88" s="98">
        <f>IF(OR(Package="F324",Package="F400"),E88*(calTotal!$G$31^2),E88*(calTotal!$G$104^2))</f>
        <v>106.19099235303432</v>
      </c>
      <c r="G88" s="98">
        <f>IF(calTotal!$G$39="-",0,IF(OR(calTotal!$E$11="Nominal",calTotal!$E$11="Maximum"),IF(AND(calTotal!$G$39&gt;=1.14,calTotal!$G$39&lt;=1.3),((10.144*EXP(0.0051*D88))*(calTotal!$G$39^2)),((28.333*EXP(0.002*D88))*(calTotal!$G$39^2))),IF(calTotal!$G$39=1.14,((10.144*EXP(0.0051*D88))*(calTotal!$G$39^2)),((28.333*EXP(0.002*D88))*(calTotal!$G$39^2)))))</f>
        <v>0</v>
      </c>
      <c r="H88" s="99">
        <f>IF(Package="F324",SUM(calTotal!$D$30:$D$36)+calTotal!$M$19+F88+G88+calTotal!$N$28,IF(Package="F400",SUM(calTotal!$D$30:$D$35)+calTotal!$M$19+F88+G88+calTotal!$N$28,IF(OR(Package="W80",Package="F169"),SUM(calTotal!$D$103:$D$109)+F88+calTotal!$N$90,SUM(calTotal!$D$103:$D$108)+F88+calTotal!$N$90)))</f>
        <v>1684.5433188383333</v>
      </c>
    </row>
    <row r="89" spans="3:8" x14ac:dyDescent="0.35">
      <c r="C89" s="96">
        <v>87</v>
      </c>
      <c r="D89" s="92">
        <f>IF(OR(Package="F324",Package="F400"),calTotal!$E$16+(IF(calTotal!$E$18="None",calTotal!$E$21,calTotal!$E$20)*(H88*0.001)),calTotal!$E$89+(IF(calTotal!$E$91="None",calTotal!$E$94,calTotal!$E$93)*(H88*0.001)))</f>
        <v>111.34211007871819</v>
      </c>
      <c r="E89" s="92">
        <f>IF(OR(calTotal!$E$7="W80",calTotal!$E$7="Q100",calTotal!$E$7="Q144",calTotal!$E$7="F169",calTotal!$E$7="F256"),IF(calTotal!$E$9="Typical",IF(calTotal!$E$7="W80",(2.7909*EXP(0.0293*D89)/1.2),IF(OR(calTotal!$E$7="Q100",calTotal!$E$7="Q144"),(3.3892*EXP(0.0293*D89)/1.2),IF(calTotal!$E$7="F169",(2.7089*EXP(0.0293*D89)/1.2),IF(calTotal!$E$7="F256",(3.3892*EXP(0.0293*D89)/1.2),"Invalid")))),IF(calTotal!$E$9="Maximum",(7.2106*EXP(0.0293*D89)/1.2),"Invalid")),IF(OR(calTotal!$E$7="F324",calTotal!$E$7="F400"),IF(calTotal!$E$9="Typical",IF(calTotal!$E$7="F324",(19.1814*EXP(0.0181*D89)/1.2),IF(calTotal!$E$7="F400",(19.3955*EXP(0.0181*D89)/1.2),"Invalid")),IF(calTotal!$E$9="Maximum",(34.982*EXP(0.0181*D89)/1.2),"Invalid"))))</f>
        <v>73.743744689607169</v>
      </c>
      <c r="F89" s="98">
        <f>IF(OR(Package="F324",Package="F400"),E89*(calTotal!$G$31^2),E89*(calTotal!$G$104^2))</f>
        <v>106.19099235303432</v>
      </c>
      <c r="G89" s="98">
        <f>IF(calTotal!$G$39="-",0,IF(OR(calTotal!$E$11="Nominal",calTotal!$E$11="Maximum"),IF(AND(calTotal!$G$39&gt;=1.14,calTotal!$G$39&lt;=1.3),((10.144*EXP(0.0051*D89))*(calTotal!$G$39^2)),((28.333*EXP(0.002*D89))*(calTotal!$G$39^2))),IF(calTotal!$G$39=1.14,((10.144*EXP(0.0051*D89))*(calTotal!$G$39^2)),((28.333*EXP(0.002*D89))*(calTotal!$G$39^2)))))</f>
        <v>0</v>
      </c>
      <c r="H89" s="99">
        <f>IF(Package="F324",SUM(calTotal!$D$30:$D$36)+calTotal!$M$19+F89+G89+calTotal!$N$28,IF(Package="F400",SUM(calTotal!$D$30:$D$35)+calTotal!$M$19+F89+G89+calTotal!$N$28,IF(OR(Package="W80",Package="F169"),SUM(calTotal!$D$103:$D$109)+F89+calTotal!$N$90,SUM(calTotal!$D$103:$D$108)+F89+calTotal!$N$90)))</f>
        <v>1684.5433188383333</v>
      </c>
    </row>
    <row r="90" spans="3:8" x14ac:dyDescent="0.35">
      <c r="C90" s="96">
        <v>88</v>
      </c>
      <c r="D90" s="92">
        <f>IF(OR(Package="F324",Package="F400"),calTotal!$E$16+(IF(calTotal!$E$18="None",calTotal!$E$21,calTotal!$E$20)*(H89*0.001)),calTotal!$E$89+(IF(calTotal!$E$91="None",calTotal!$E$94,calTotal!$E$93)*(H89*0.001)))</f>
        <v>111.34211007871819</v>
      </c>
      <c r="E90" s="92">
        <f>IF(OR(calTotal!$E$7="W80",calTotal!$E$7="Q100",calTotal!$E$7="Q144",calTotal!$E$7="F169",calTotal!$E$7="F256"),IF(calTotal!$E$9="Typical",IF(calTotal!$E$7="W80",(2.7909*EXP(0.0293*D90)/1.2),IF(OR(calTotal!$E$7="Q100",calTotal!$E$7="Q144"),(3.3892*EXP(0.0293*D90)/1.2),IF(calTotal!$E$7="F169",(2.7089*EXP(0.0293*D90)/1.2),IF(calTotal!$E$7="F256",(3.3892*EXP(0.0293*D90)/1.2),"Invalid")))),IF(calTotal!$E$9="Maximum",(7.2106*EXP(0.0293*D90)/1.2),"Invalid")),IF(OR(calTotal!$E$7="F324",calTotal!$E$7="F400"),IF(calTotal!$E$9="Typical",IF(calTotal!$E$7="F324",(19.1814*EXP(0.0181*D90)/1.2),IF(calTotal!$E$7="F400",(19.3955*EXP(0.0181*D90)/1.2),"Invalid")),IF(calTotal!$E$9="Maximum",(34.982*EXP(0.0181*D90)/1.2),"Invalid"))))</f>
        <v>73.743744689607169</v>
      </c>
      <c r="F90" s="98">
        <f>IF(OR(Package="F324",Package="F400"),E90*(calTotal!$G$31^2),E90*(calTotal!$G$104^2))</f>
        <v>106.19099235303432</v>
      </c>
      <c r="G90" s="98">
        <f>IF(calTotal!$G$39="-",0,IF(OR(calTotal!$E$11="Nominal",calTotal!$E$11="Maximum"),IF(AND(calTotal!$G$39&gt;=1.14,calTotal!$G$39&lt;=1.3),((10.144*EXP(0.0051*D90))*(calTotal!$G$39^2)),((28.333*EXP(0.002*D90))*(calTotal!$G$39^2))),IF(calTotal!$G$39=1.14,((10.144*EXP(0.0051*D90))*(calTotal!$G$39^2)),((28.333*EXP(0.002*D90))*(calTotal!$G$39^2)))))</f>
        <v>0</v>
      </c>
      <c r="H90" s="99">
        <f>IF(Package="F324",SUM(calTotal!$D$30:$D$36)+calTotal!$M$19+F90+G90+calTotal!$N$28,IF(Package="F400",SUM(calTotal!$D$30:$D$35)+calTotal!$M$19+F90+G90+calTotal!$N$28,IF(OR(Package="W80",Package="F169"),SUM(calTotal!$D$103:$D$109)+F90+calTotal!$N$90,SUM(calTotal!$D$103:$D$108)+F90+calTotal!$N$90)))</f>
        <v>1684.5433188383333</v>
      </c>
    </row>
    <row r="91" spans="3:8" x14ac:dyDescent="0.35">
      <c r="C91" s="96">
        <v>89</v>
      </c>
      <c r="D91" s="92">
        <f>IF(OR(Package="F324",Package="F400"),calTotal!$E$16+(IF(calTotal!$E$18="None",calTotal!$E$21,calTotal!$E$20)*(H90*0.001)),calTotal!$E$89+(IF(calTotal!$E$91="None",calTotal!$E$94,calTotal!$E$93)*(H90*0.001)))</f>
        <v>111.34211007871819</v>
      </c>
      <c r="E91" s="92">
        <f>IF(OR(calTotal!$E$7="W80",calTotal!$E$7="Q100",calTotal!$E$7="Q144",calTotal!$E$7="F169",calTotal!$E$7="F256"),IF(calTotal!$E$9="Typical",IF(calTotal!$E$7="W80",(2.7909*EXP(0.0293*D91)/1.2),IF(OR(calTotal!$E$7="Q100",calTotal!$E$7="Q144"),(3.3892*EXP(0.0293*D91)/1.2),IF(calTotal!$E$7="F169",(2.7089*EXP(0.0293*D91)/1.2),IF(calTotal!$E$7="F256",(3.3892*EXP(0.0293*D91)/1.2),"Invalid")))),IF(calTotal!$E$9="Maximum",(7.2106*EXP(0.0293*D91)/1.2),"Invalid")),IF(OR(calTotal!$E$7="F324",calTotal!$E$7="F400"),IF(calTotal!$E$9="Typical",IF(calTotal!$E$7="F324",(19.1814*EXP(0.0181*D91)/1.2),IF(calTotal!$E$7="F400",(19.3955*EXP(0.0181*D91)/1.2),"Invalid")),IF(calTotal!$E$9="Maximum",(34.982*EXP(0.0181*D91)/1.2),"Invalid"))))</f>
        <v>73.743744689607169</v>
      </c>
      <c r="F91" s="98">
        <f>IF(OR(Package="F324",Package="F400"),E91*(calTotal!$G$31^2),E91*(calTotal!$G$104^2))</f>
        <v>106.19099235303432</v>
      </c>
      <c r="G91" s="98">
        <f>IF(calTotal!$G$39="-",0,IF(OR(calTotal!$E$11="Nominal",calTotal!$E$11="Maximum"),IF(AND(calTotal!$G$39&gt;=1.14,calTotal!$G$39&lt;=1.3),((10.144*EXP(0.0051*D91))*(calTotal!$G$39^2)),((28.333*EXP(0.002*D91))*(calTotal!$G$39^2))),IF(calTotal!$G$39=1.14,((10.144*EXP(0.0051*D91))*(calTotal!$G$39^2)),((28.333*EXP(0.002*D91))*(calTotal!$G$39^2)))))</f>
        <v>0</v>
      </c>
      <c r="H91" s="99">
        <f>IF(Package="F324",SUM(calTotal!$D$30:$D$36)+calTotal!$M$19+F91+G91+calTotal!$N$28,IF(Package="F400",SUM(calTotal!$D$30:$D$35)+calTotal!$M$19+F91+G91+calTotal!$N$28,IF(OR(Package="W80",Package="F169"),SUM(calTotal!$D$103:$D$109)+F91+calTotal!$N$90,SUM(calTotal!$D$103:$D$108)+F91+calTotal!$N$90)))</f>
        <v>1684.5433188383333</v>
      </c>
    </row>
    <row r="92" spans="3:8" x14ac:dyDescent="0.35">
      <c r="C92" s="96">
        <v>90</v>
      </c>
      <c r="D92" s="92">
        <f>IF(OR(Package="F324",Package="F400"),calTotal!$E$16+(IF(calTotal!$E$18="None",calTotal!$E$21,calTotal!$E$20)*(H91*0.001)),calTotal!$E$89+(IF(calTotal!$E$91="None",calTotal!$E$94,calTotal!$E$93)*(H91*0.001)))</f>
        <v>111.34211007871819</v>
      </c>
      <c r="E92" s="92">
        <f>IF(OR(calTotal!$E$7="W80",calTotal!$E$7="Q100",calTotal!$E$7="Q144",calTotal!$E$7="F169",calTotal!$E$7="F256"),IF(calTotal!$E$9="Typical",IF(calTotal!$E$7="W80",(2.7909*EXP(0.0293*D92)/1.2),IF(OR(calTotal!$E$7="Q100",calTotal!$E$7="Q144"),(3.3892*EXP(0.0293*D92)/1.2),IF(calTotal!$E$7="F169",(2.7089*EXP(0.0293*D92)/1.2),IF(calTotal!$E$7="F256",(3.3892*EXP(0.0293*D92)/1.2),"Invalid")))),IF(calTotal!$E$9="Maximum",(7.2106*EXP(0.0293*D92)/1.2),"Invalid")),IF(OR(calTotal!$E$7="F324",calTotal!$E$7="F400"),IF(calTotal!$E$9="Typical",IF(calTotal!$E$7="F324",(19.1814*EXP(0.0181*D92)/1.2),IF(calTotal!$E$7="F400",(19.3955*EXP(0.0181*D92)/1.2),"Invalid")),IF(calTotal!$E$9="Maximum",(34.982*EXP(0.0181*D92)/1.2),"Invalid"))))</f>
        <v>73.743744689607169</v>
      </c>
      <c r="F92" s="98">
        <f>IF(OR(Package="F324",Package="F400"),E92*(calTotal!$G$31^2),E92*(calTotal!$G$104^2))</f>
        <v>106.19099235303432</v>
      </c>
      <c r="G92" s="98">
        <f>IF(calTotal!$G$39="-",0,IF(OR(calTotal!$E$11="Nominal",calTotal!$E$11="Maximum"),IF(AND(calTotal!$G$39&gt;=1.14,calTotal!$G$39&lt;=1.3),((10.144*EXP(0.0051*D92))*(calTotal!$G$39^2)),((28.333*EXP(0.002*D92))*(calTotal!$G$39^2))),IF(calTotal!$G$39=1.14,((10.144*EXP(0.0051*D92))*(calTotal!$G$39^2)),((28.333*EXP(0.002*D92))*(calTotal!$G$39^2)))))</f>
        <v>0</v>
      </c>
      <c r="H92" s="99">
        <f>IF(Package="F324",SUM(calTotal!$D$30:$D$36)+calTotal!$M$19+F92+G92+calTotal!$N$28,IF(Package="F400",SUM(calTotal!$D$30:$D$35)+calTotal!$M$19+F92+G92+calTotal!$N$28,IF(OR(Package="W80",Package="F169"),SUM(calTotal!$D$103:$D$109)+F92+calTotal!$N$90,SUM(calTotal!$D$103:$D$108)+F92+calTotal!$N$90)))</f>
        <v>1684.5433188383333</v>
      </c>
    </row>
    <row r="93" spans="3:8" x14ac:dyDescent="0.35">
      <c r="C93" s="96">
        <v>91</v>
      </c>
      <c r="D93" s="92">
        <f>IF(OR(Package="F324",Package="F400"),calTotal!$E$16+(IF(calTotal!$E$18="None",calTotal!$E$21,calTotal!$E$20)*(H92*0.001)),calTotal!$E$89+(IF(calTotal!$E$91="None",calTotal!$E$94,calTotal!$E$93)*(H92*0.001)))</f>
        <v>111.34211007871819</v>
      </c>
      <c r="E93" s="92">
        <f>IF(OR(calTotal!$E$7="W80",calTotal!$E$7="Q100",calTotal!$E$7="Q144",calTotal!$E$7="F169",calTotal!$E$7="F256"),IF(calTotal!$E$9="Typical",IF(calTotal!$E$7="W80",(2.7909*EXP(0.0293*D93)/1.2),IF(OR(calTotal!$E$7="Q100",calTotal!$E$7="Q144"),(3.3892*EXP(0.0293*D93)/1.2),IF(calTotal!$E$7="F169",(2.7089*EXP(0.0293*D93)/1.2),IF(calTotal!$E$7="F256",(3.3892*EXP(0.0293*D93)/1.2),"Invalid")))),IF(calTotal!$E$9="Maximum",(7.2106*EXP(0.0293*D93)/1.2),"Invalid")),IF(OR(calTotal!$E$7="F324",calTotal!$E$7="F400"),IF(calTotal!$E$9="Typical",IF(calTotal!$E$7="F324",(19.1814*EXP(0.0181*D93)/1.2),IF(calTotal!$E$7="F400",(19.3955*EXP(0.0181*D93)/1.2),"Invalid")),IF(calTotal!$E$9="Maximum",(34.982*EXP(0.0181*D93)/1.2),"Invalid"))))</f>
        <v>73.743744689607169</v>
      </c>
      <c r="F93" s="98">
        <f>IF(OR(Package="F324",Package="F400"),E93*(calTotal!$G$31^2),E93*(calTotal!$G$104^2))</f>
        <v>106.19099235303432</v>
      </c>
      <c r="G93" s="98">
        <f>IF(calTotal!$G$39="-",0,IF(OR(calTotal!$E$11="Nominal",calTotal!$E$11="Maximum"),IF(AND(calTotal!$G$39&gt;=1.14,calTotal!$G$39&lt;=1.3),((10.144*EXP(0.0051*D93))*(calTotal!$G$39^2)),((28.333*EXP(0.002*D93))*(calTotal!$G$39^2))),IF(calTotal!$G$39=1.14,((10.144*EXP(0.0051*D93))*(calTotal!$G$39^2)),((28.333*EXP(0.002*D93))*(calTotal!$G$39^2)))))</f>
        <v>0</v>
      </c>
      <c r="H93" s="99">
        <f>IF(Package="F324",SUM(calTotal!$D$30:$D$36)+calTotal!$M$19+F93+G93+calTotal!$N$28,IF(Package="F400",SUM(calTotal!$D$30:$D$35)+calTotal!$M$19+F93+G93+calTotal!$N$28,IF(OR(Package="W80",Package="F169"),SUM(calTotal!$D$103:$D$109)+F93+calTotal!$N$90,SUM(calTotal!$D$103:$D$108)+F93+calTotal!$N$90)))</f>
        <v>1684.5433188383333</v>
      </c>
    </row>
    <row r="94" spans="3:8" x14ac:dyDescent="0.35">
      <c r="C94" s="96">
        <v>92</v>
      </c>
      <c r="D94" s="92">
        <f>IF(OR(Package="F324",Package="F400"),calTotal!$E$16+(IF(calTotal!$E$18="None",calTotal!$E$21,calTotal!$E$20)*(H93*0.001)),calTotal!$E$89+(IF(calTotal!$E$91="None",calTotal!$E$94,calTotal!$E$93)*(H93*0.001)))</f>
        <v>111.34211007871819</v>
      </c>
      <c r="E94" s="92">
        <f>IF(OR(calTotal!$E$7="W80",calTotal!$E$7="Q100",calTotal!$E$7="Q144",calTotal!$E$7="F169",calTotal!$E$7="F256"),IF(calTotal!$E$9="Typical",IF(calTotal!$E$7="W80",(2.7909*EXP(0.0293*D94)/1.2),IF(OR(calTotal!$E$7="Q100",calTotal!$E$7="Q144"),(3.3892*EXP(0.0293*D94)/1.2),IF(calTotal!$E$7="F169",(2.7089*EXP(0.0293*D94)/1.2),IF(calTotal!$E$7="F256",(3.3892*EXP(0.0293*D94)/1.2),"Invalid")))),IF(calTotal!$E$9="Maximum",(7.2106*EXP(0.0293*D94)/1.2),"Invalid")),IF(OR(calTotal!$E$7="F324",calTotal!$E$7="F400"),IF(calTotal!$E$9="Typical",IF(calTotal!$E$7="F324",(19.1814*EXP(0.0181*D94)/1.2),IF(calTotal!$E$7="F400",(19.3955*EXP(0.0181*D94)/1.2),"Invalid")),IF(calTotal!$E$9="Maximum",(34.982*EXP(0.0181*D94)/1.2),"Invalid"))))</f>
        <v>73.743744689607169</v>
      </c>
      <c r="F94" s="98">
        <f>IF(OR(Package="F324",Package="F400"),E94*(calTotal!$G$31^2),E94*(calTotal!$G$104^2))</f>
        <v>106.19099235303432</v>
      </c>
      <c r="G94" s="98">
        <f>IF(calTotal!$G$39="-",0,IF(OR(calTotal!$E$11="Nominal",calTotal!$E$11="Maximum"),IF(AND(calTotal!$G$39&gt;=1.14,calTotal!$G$39&lt;=1.3),((10.144*EXP(0.0051*D94))*(calTotal!$G$39^2)),((28.333*EXP(0.002*D94))*(calTotal!$G$39^2))),IF(calTotal!$G$39=1.14,((10.144*EXP(0.0051*D94))*(calTotal!$G$39^2)),((28.333*EXP(0.002*D94))*(calTotal!$G$39^2)))))</f>
        <v>0</v>
      </c>
      <c r="H94" s="99">
        <f>IF(Package="F324",SUM(calTotal!$D$30:$D$36)+calTotal!$M$19+F94+G94+calTotal!$N$28,IF(Package="F400",SUM(calTotal!$D$30:$D$35)+calTotal!$M$19+F94+G94+calTotal!$N$28,IF(OR(Package="W80",Package="F169"),SUM(calTotal!$D$103:$D$109)+F94+calTotal!$N$90,SUM(calTotal!$D$103:$D$108)+F94+calTotal!$N$90)))</f>
        <v>1684.5433188383333</v>
      </c>
    </row>
    <row r="95" spans="3:8" x14ac:dyDescent="0.35">
      <c r="C95" s="96">
        <v>93</v>
      </c>
      <c r="D95" s="92">
        <f>IF(OR(Package="F324",Package="F400"),calTotal!$E$16+(IF(calTotal!$E$18="None",calTotal!$E$21,calTotal!$E$20)*(H94*0.001)),calTotal!$E$89+(IF(calTotal!$E$91="None",calTotal!$E$94,calTotal!$E$93)*(H94*0.001)))</f>
        <v>111.34211007871819</v>
      </c>
      <c r="E95" s="92">
        <f>IF(OR(calTotal!$E$7="W80",calTotal!$E$7="Q100",calTotal!$E$7="Q144",calTotal!$E$7="F169",calTotal!$E$7="F256"),IF(calTotal!$E$9="Typical",IF(calTotal!$E$7="W80",(2.7909*EXP(0.0293*D95)/1.2),IF(OR(calTotal!$E$7="Q100",calTotal!$E$7="Q144"),(3.3892*EXP(0.0293*D95)/1.2),IF(calTotal!$E$7="F169",(2.7089*EXP(0.0293*D95)/1.2),IF(calTotal!$E$7="F256",(3.3892*EXP(0.0293*D95)/1.2),"Invalid")))),IF(calTotal!$E$9="Maximum",(7.2106*EXP(0.0293*D95)/1.2),"Invalid")),IF(OR(calTotal!$E$7="F324",calTotal!$E$7="F400"),IF(calTotal!$E$9="Typical",IF(calTotal!$E$7="F324",(19.1814*EXP(0.0181*D95)/1.2),IF(calTotal!$E$7="F400",(19.3955*EXP(0.0181*D95)/1.2),"Invalid")),IF(calTotal!$E$9="Maximum",(34.982*EXP(0.0181*D95)/1.2),"Invalid"))))</f>
        <v>73.743744689607169</v>
      </c>
      <c r="F95" s="98">
        <f>IF(OR(Package="F324",Package="F400"),E95*(calTotal!$G$31^2),E95*(calTotal!$G$104^2))</f>
        <v>106.19099235303432</v>
      </c>
      <c r="G95" s="98">
        <f>IF(calTotal!$G$39="-",0,IF(OR(calTotal!$E$11="Nominal",calTotal!$E$11="Maximum"),IF(AND(calTotal!$G$39&gt;=1.14,calTotal!$G$39&lt;=1.3),((10.144*EXP(0.0051*D95))*(calTotal!$G$39^2)),((28.333*EXP(0.002*D95))*(calTotal!$G$39^2))),IF(calTotal!$G$39=1.14,((10.144*EXP(0.0051*D95))*(calTotal!$G$39^2)),((28.333*EXP(0.002*D95))*(calTotal!$G$39^2)))))</f>
        <v>0</v>
      </c>
      <c r="H95" s="99">
        <f>IF(Package="F324",SUM(calTotal!$D$30:$D$36)+calTotal!$M$19+F95+G95+calTotal!$N$28,IF(Package="F400",SUM(calTotal!$D$30:$D$35)+calTotal!$M$19+F95+G95+calTotal!$N$28,IF(OR(Package="W80",Package="F169"),SUM(calTotal!$D$103:$D$109)+F95+calTotal!$N$90,SUM(calTotal!$D$103:$D$108)+F95+calTotal!$N$90)))</f>
        <v>1684.5433188383333</v>
      </c>
    </row>
    <row r="96" spans="3:8" x14ac:dyDescent="0.35">
      <c r="C96" s="96">
        <v>94</v>
      </c>
      <c r="D96" s="92">
        <f>IF(OR(Package="F324",Package="F400"),calTotal!$E$16+(IF(calTotal!$E$18="None",calTotal!$E$21,calTotal!$E$20)*(H95*0.001)),calTotal!$E$89+(IF(calTotal!$E$91="None",calTotal!$E$94,calTotal!$E$93)*(H95*0.001)))</f>
        <v>111.34211007871819</v>
      </c>
      <c r="E96" s="92">
        <f>IF(OR(calTotal!$E$7="W80",calTotal!$E$7="Q100",calTotal!$E$7="Q144",calTotal!$E$7="F169",calTotal!$E$7="F256"),IF(calTotal!$E$9="Typical",IF(calTotal!$E$7="W80",(2.7909*EXP(0.0293*D96)/1.2),IF(OR(calTotal!$E$7="Q100",calTotal!$E$7="Q144"),(3.3892*EXP(0.0293*D96)/1.2),IF(calTotal!$E$7="F169",(2.7089*EXP(0.0293*D96)/1.2),IF(calTotal!$E$7="F256",(3.3892*EXP(0.0293*D96)/1.2),"Invalid")))),IF(calTotal!$E$9="Maximum",(7.2106*EXP(0.0293*D96)/1.2),"Invalid")),IF(OR(calTotal!$E$7="F324",calTotal!$E$7="F400"),IF(calTotal!$E$9="Typical",IF(calTotal!$E$7="F324",(19.1814*EXP(0.0181*D96)/1.2),IF(calTotal!$E$7="F400",(19.3955*EXP(0.0181*D96)/1.2),"Invalid")),IF(calTotal!$E$9="Maximum",(34.982*EXP(0.0181*D96)/1.2),"Invalid"))))</f>
        <v>73.743744689607169</v>
      </c>
      <c r="F96" s="98">
        <f>IF(OR(Package="F324",Package="F400"),E96*(calTotal!$G$31^2),E96*(calTotal!$G$104^2))</f>
        <v>106.19099235303432</v>
      </c>
      <c r="G96" s="98">
        <f>IF(calTotal!$G$39="-",0,IF(OR(calTotal!$E$11="Nominal",calTotal!$E$11="Maximum"),IF(AND(calTotal!$G$39&gt;=1.14,calTotal!$G$39&lt;=1.3),((10.144*EXP(0.0051*D96))*(calTotal!$G$39^2)),((28.333*EXP(0.002*D96))*(calTotal!$G$39^2))),IF(calTotal!$G$39=1.14,((10.144*EXP(0.0051*D96))*(calTotal!$G$39^2)),((28.333*EXP(0.002*D96))*(calTotal!$G$39^2)))))</f>
        <v>0</v>
      </c>
      <c r="H96" s="99">
        <f>IF(Package="F324",SUM(calTotal!$D$30:$D$36)+calTotal!$M$19+F96+G96+calTotal!$N$28,IF(Package="F400",SUM(calTotal!$D$30:$D$35)+calTotal!$M$19+F96+G96+calTotal!$N$28,IF(OR(Package="W80",Package="F169"),SUM(calTotal!$D$103:$D$109)+F96+calTotal!$N$90,SUM(calTotal!$D$103:$D$108)+F96+calTotal!$N$90)))</f>
        <v>1684.5433188383333</v>
      </c>
    </row>
    <row r="97" spans="3:8" x14ac:dyDescent="0.35">
      <c r="C97" s="96">
        <v>95</v>
      </c>
      <c r="D97" s="92">
        <f>IF(OR(Package="F324",Package="F400"),calTotal!$E$16+(IF(calTotal!$E$18="None",calTotal!$E$21,calTotal!$E$20)*(H96*0.001)),calTotal!$E$89+(IF(calTotal!$E$91="None",calTotal!$E$94,calTotal!$E$93)*(H96*0.001)))</f>
        <v>111.34211007871819</v>
      </c>
      <c r="E97" s="92">
        <f>IF(OR(calTotal!$E$7="W80",calTotal!$E$7="Q100",calTotal!$E$7="Q144",calTotal!$E$7="F169",calTotal!$E$7="F256"),IF(calTotal!$E$9="Typical",IF(calTotal!$E$7="W80",(2.7909*EXP(0.0293*D97)/1.2),IF(OR(calTotal!$E$7="Q100",calTotal!$E$7="Q144"),(3.3892*EXP(0.0293*D97)/1.2),IF(calTotal!$E$7="F169",(2.7089*EXP(0.0293*D97)/1.2),IF(calTotal!$E$7="F256",(3.3892*EXP(0.0293*D97)/1.2),"Invalid")))),IF(calTotal!$E$9="Maximum",(7.2106*EXP(0.0293*D97)/1.2),"Invalid")),IF(OR(calTotal!$E$7="F324",calTotal!$E$7="F400"),IF(calTotal!$E$9="Typical",IF(calTotal!$E$7="F324",(19.1814*EXP(0.0181*D97)/1.2),IF(calTotal!$E$7="F400",(19.3955*EXP(0.0181*D97)/1.2),"Invalid")),IF(calTotal!$E$9="Maximum",(34.982*EXP(0.0181*D97)/1.2),"Invalid"))))</f>
        <v>73.743744689607169</v>
      </c>
      <c r="F97" s="98">
        <f>IF(OR(Package="F324",Package="F400"),E97*(calTotal!$G$31^2),E97*(calTotal!$G$104^2))</f>
        <v>106.19099235303432</v>
      </c>
      <c r="G97" s="98">
        <f>IF(calTotal!$G$39="-",0,IF(OR(calTotal!$E$11="Nominal",calTotal!$E$11="Maximum"),IF(AND(calTotal!$G$39&gt;=1.14,calTotal!$G$39&lt;=1.3),((10.144*EXP(0.0051*D97))*(calTotal!$G$39^2)),((28.333*EXP(0.002*D97))*(calTotal!$G$39^2))),IF(calTotal!$G$39=1.14,((10.144*EXP(0.0051*D97))*(calTotal!$G$39^2)),((28.333*EXP(0.002*D97))*(calTotal!$G$39^2)))))</f>
        <v>0</v>
      </c>
      <c r="H97" s="99">
        <f>IF(Package="F324",SUM(calTotal!$D$30:$D$36)+calTotal!$M$19+F97+G97+calTotal!$N$28,IF(Package="F400",SUM(calTotal!$D$30:$D$35)+calTotal!$M$19+F97+G97+calTotal!$N$28,IF(OR(Package="W80",Package="F169"),SUM(calTotal!$D$103:$D$109)+F97+calTotal!$N$90,SUM(calTotal!$D$103:$D$108)+F97+calTotal!$N$90)))</f>
        <v>1684.5433188383333</v>
      </c>
    </row>
    <row r="98" spans="3:8" x14ac:dyDescent="0.35">
      <c r="C98" s="96">
        <v>96</v>
      </c>
      <c r="D98" s="92">
        <f>IF(OR(Package="F324",Package="F400"),calTotal!$E$16+(IF(calTotal!$E$18="None",calTotal!$E$21,calTotal!$E$20)*(H97*0.001)),calTotal!$E$89+(IF(calTotal!$E$91="None",calTotal!$E$94,calTotal!$E$93)*(H97*0.001)))</f>
        <v>111.34211007871819</v>
      </c>
      <c r="E98" s="92">
        <f>IF(OR(calTotal!$E$7="W80",calTotal!$E$7="Q100",calTotal!$E$7="Q144",calTotal!$E$7="F169",calTotal!$E$7="F256"),IF(calTotal!$E$9="Typical",IF(calTotal!$E$7="W80",(2.7909*EXP(0.0293*D98)/1.2),IF(OR(calTotal!$E$7="Q100",calTotal!$E$7="Q144"),(3.3892*EXP(0.0293*D98)/1.2),IF(calTotal!$E$7="F169",(2.7089*EXP(0.0293*D98)/1.2),IF(calTotal!$E$7="F256",(3.3892*EXP(0.0293*D98)/1.2),"Invalid")))),IF(calTotal!$E$9="Maximum",(7.2106*EXP(0.0293*D98)/1.2),"Invalid")),IF(OR(calTotal!$E$7="F324",calTotal!$E$7="F400"),IF(calTotal!$E$9="Typical",IF(calTotal!$E$7="F324",(19.1814*EXP(0.0181*D98)/1.2),IF(calTotal!$E$7="F400",(19.3955*EXP(0.0181*D98)/1.2),"Invalid")),IF(calTotal!$E$9="Maximum",(34.982*EXP(0.0181*D98)/1.2),"Invalid"))))</f>
        <v>73.743744689607169</v>
      </c>
      <c r="F98" s="98">
        <f>IF(OR(Package="F324",Package="F400"),E98*(calTotal!$G$31^2),E98*(calTotal!$G$104^2))</f>
        <v>106.19099235303432</v>
      </c>
      <c r="G98" s="98">
        <f>IF(calTotal!$G$39="-",0,IF(OR(calTotal!$E$11="Nominal",calTotal!$E$11="Maximum"),IF(AND(calTotal!$G$39&gt;=1.14,calTotal!$G$39&lt;=1.3),((10.144*EXP(0.0051*D98))*(calTotal!$G$39^2)),((28.333*EXP(0.002*D98))*(calTotal!$G$39^2))),IF(calTotal!$G$39=1.14,((10.144*EXP(0.0051*D98))*(calTotal!$G$39^2)),((28.333*EXP(0.002*D98))*(calTotal!$G$39^2)))))</f>
        <v>0</v>
      </c>
      <c r="H98" s="99">
        <f>IF(Package="F324",SUM(calTotal!$D$30:$D$36)+calTotal!$M$19+F98+G98+calTotal!$N$28,IF(Package="F400",SUM(calTotal!$D$30:$D$35)+calTotal!$M$19+F98+G98+calTotal!$N$28,IF(OR(Package="W80",Package="F169"),SUM(calTotal!$D$103:$D$109)+F98+calTotal!$N$90,SUM(calTotal!$D$103:$D$108)+F98+calTotal!$N$90)))</f>
        <v>1684.5433188383333</v>
      </c>
    </row>
    <row r="99" spans="3:8" x14ac:dyDescent="0.35">
      <c r="C99" s="96">
        <v>97</v>
      </c>
      <c r="D99" s="92">
        <f>IF(OR(Package="F324",Package="F400"),calTotal!$E$16+(IF(calTotal!$E$18="None",calTotal!$E$21,calTotal!$E$20)*(H98*0.001)),calTotal!$E$89+(IF(calTotal!$E$91="None",calTotal!$E$94,calTotal!$E$93)*(H98*0.001)))</f>
        <v>111.34211007871819</v>
      </c>
      <c r="E99" s="92">
        <f>IF(OR(calTotal!$E$7="W80",calTotal!$E$7="Q100",calTotal!$E$7="Q144",calTotal!$E$7="F169",calTotal!$E$7="F256"),IF(calTotal!$E$9="Typical",IF(calTotal!$E$7="W80",(2.7909*EXP(0.0293*D99)/1.2),IF(OR(calTotal!$E$7="Q100",calTotal!$E$7="Q144"),(3.3892*EXP(0.0293*D99)/1.2),IF(calTotal!$E$7="F169",(2.7089*EXP(0.0293*D99)/1.2),IF(calTotal!$E$7="F256",(3.3892*EXP(0.0293*D99)/1.2),"Invalid")))),IF(calTotal!$E$9="Maximum",(7.2106*EXP(0.0293*D99)/1.2),"Invalid")),IF(OR(calTotal!$E$7="F324",calTotal!$E$7="F400"),IF(calTotal!$E$9="Typical",IF(calTotal!$E$7="F324",(19.1814*EXP(0.0181*D99)/1.2),IF(calTotal!$E$7="F400",(19.3955*EXP(0.0181*D99)/1.2),"Invalid")),IF(calTotal!$E$9="Maximum",(34.982*EXP(0.0181*D99)/1.2),"Invalid"))))</f>
        <v>73.743744689607169</v>
      </c>
      <c r="F99" s="98">
        <f>IF(OR(Package="F324",Package="F400"),E99*(calTotal!$G$31^2),E99*(calTotal!$G$104^2))</f>
        <v>106.19099235303432</v>
      </c>
      <c r="G99" s="98">
        <f>IF(calTotal!$G$39="-",0,IF(OR(calTotal!$E$11="Nominal",calTotal!$E$11="Maximum"),IF(AND(calTotal!$G$39&gt;=1.14,calTotal!$G$39&lt;=1.3),((10.144*EXP(0.0051*D99))*(calTotal!$G$39^2)),((28.333*EXP(0.002*D99))*(calTotal!$G$39^2))),IF(calTotal!$G$39=1.14,((10.144*EXP(0.0051*D99))*(calTotal!$G$39^2)),((28.333*EXP(0.002*D99))*(calTotal!$G$39^2)))))</f>
        <v>0</v>
      </c>
      <c r="H99" s="99">
        <f>IF(Package="F324",SUM(calTotal!$D$30:$D$36)+calTotal!$M$19+F99+G99+calTotal!$N$28,IF(Package="F400",SUM(calTotal!$D$30:$D$35)+calTotal!$M$19+F99+G99+calTotal!$N$28,IF(OR(Package="W80",Package="F169"),SUM(calTotal!$D$103:$D$109)+F99+calTotal!$N$90,SUM(calTotal!$D$103:$D$108)+F99+calTotal!$N$90)))</f>
        <v>1684.5433188383333</v>
      </c>
    </row>
    <row r="100" spans="3:8" x14ac:dyDescent="0.35">
      <c r="C100" s="96">
        <v>98</v>
      </c>
      <c r="D100" s="92">
        <f>IF(OR(Package="F324",Package="F400"),calTotal!$E$16+(IF(calTotal!$E$18="None",calTotal!$E$21,calTotal!$E$20)*(H99*0.001)),calTotal!$E$89+(IF(calTotal!$E$91="None",calTotal!$E$94,calTotal!$E$93)*(H99*0.001)))</f>
        <v>111.34211007871819</v>
      </c>
      <c r="E100" s="92">
        <f>IF(OR(calTotal!$E$7="W80",calTotal!$E$7="Q100",calTotal!$E$7="Q144",calTotal!$E$7="F169",calTotal!$E$7="F256"),IF(calTotal!$E$9="Typical",IF(calTotal!$E$7="W80",(2.7909*EXP(0.0293*D100)/1.2),IF(OR(calTotal!$E$7="Q100",calTotal!$E$7="Q144"),(3.3892*EXP(0.0293*D100)/1.2),IF(calTotal!$E$7="F169",(2.7089*EXP(0.0293*D100)/1.2),IF(calTotal!$E$7="F256",(3.3892*EXP(0.0293*D100)/1.2),"Invalid")))),IF(calTotal!$E$9="Maximum",(7.2106*EXP(0.0293*D100)/1.2),"Invalid")),IF(OR(calTotal!$E$7="F324",calTotal!$E$7="F400"),IF(calTotal!$E$9="Typical",IF(calTotal!$E$7="F324",(19.1814*EXP(0.0181*D100)/1.2),IF(calTotal!$E$7="F400",(19.3955*EXP(0.0181*D100)/1.2),"Invalid")),IF(calTotal!$E$9="Maximum",(34.982*EXP(0.0181*D100)/1.2),"Invalid"))))</f>
        <v>73.743744689607169</v>
      </c>
      <c r="F100" s="98">
        <f>IF(OR(Package="F324",Package="F400"),E100*(calTotal!$G$31^2),E100*(calTotal!$G$104^2))</f>
        <v>106.19099235303432</v>
      </c>
      <c r="G100" s="98">
        <f>IF(calTotal!$G$39="-",0,IF(OR(calTotal!$E$11="Nominal",calTotal!$E$11="Maximum"),IF(AND(calTotal!$G$39&gt;=1.14,calTotal!$G$39&lt;=1.3),((10.144*EXP(0.0051*D100))*(calTotal!$G$39^2)),((28.333*EXP(0.002*D100))*(calTotal!$G$39^2))),IF(calTotal!$G$39=1.14,((10.144*EXP(0.0051*D100))*(calTotal!$G$39^2)),((28.333*EXP(0.002*D100))*(calTotal!$G$39^2)))))</f>
        <v>0</v>
      </c>
      <c r="H100" s="99">
        <f>IF(Package="F324",SUM(calTotal!$D$30:$D$36)+calTotal!$M$19+F100+G100+calTotal!$N$28,IF(Package="F400",SUM(calTotal!$D$30:$D$35)+calTotal!$M$19+F100+G100+calTotal!$N$28,IF(OR(Package="W80",Package="F169"),SUM(calTotal!$D$103:$D$109)+F100+calTotal!$N$90,SUM(calTotal!$D$103:$D$108)+F100+calTotal!$N$90)))</f>
        <v>1684.5433188383333</v>
      </c>
    </row>
    <row r="101" spans="3:8" x14ac:dyDescent="0.35">
      <c r="C101" s="96">
        <v>99</v>
      </c>
      <c r="D101" s="92">
        <f>IF(OR(Package="F324",Package="F400"),calTotal!$E$16+(IF(calTotal!$E$18="None",calTotal!$E$21,calTotal!$E$20)*(H100*0.001)),calTotal!$E$89+(IF(calTotal!$E$91="None",calTotal!$E$94,calTotal!$E$93)*(H100*0.001)))</f>
        <v>111.34211007871819</v>
      </c>
      <c r="E101" s="92">
        <f>IF(OR(calTotal!$E$7="W80",calTotal!$E$7="Q100",calTotal!$E$7="Q144",calTotal!$E$7="F169",calTotal!$E$7="F256"),IF(calTotal!$E$9="Typical",IF(calTotal!$E$7="W80",(2.7909*EXP(0.0293*D101)/1.2),IF(OR(calTotal!$E$7="Q100",calTotal!$E$7="Q144"),(3.3892*EXP(0.0293*D101)/1.2),IF(calTotal!$E$7="F169",(2.7089*EXP(0.0293*D101)/1.2),IF(calTotal!$E$7="F256",(3.3892*EXP(0.0293*D101)/1.2),"Invalid")))),IF(calTotal!$E$9="Maximum",(7.2106*EXP(0.0293*D101)/1.2),"Invalid")),IF(OR(calTotal!$E$7="F324",calTotal!$E$7="F400"),IF(calTotal!$E$9="Typical",IF(calTotal!$E$7="F324",(19.1814*EXP(0.0181*D101)/1.2),IF(calTotal!$E$7="F400",(19.3955*EXP(0.0181*D101)/1.2),"Invalid")),IF(calTotal!$E$9="Maximum",(34.982*EXP(0.0181*D101)/1.2),"Invalid"))))</f>
        <v>73.743744689607169</v>
      </c>
      <c r="F101" s="98">
        <f>IF(OR(Package="F324",Package="F400"),E101*(calTotal!$G$31^2),E101*(calTotal!$G$104^2))</f>
        <v>106.19099235303432</v>
      </c>
      <c r="G101" s="98">
        <f>IF(calTotal!$G$39="-",0,IF(OR(calTotal!$E$11="Nominal",calTotal!$E$11="Maximum"),IF(AND(calTotal!$G$39&gt;=1.14,calTotal!$G$39&lt;=1.3),((10.144*EXP(0.0051*D101))*(calTotal!$G$39^2)),((28.333*EXP(0.002*D101))*(calTotal!$G$39^2))),IF(calTotal!$G$39=1.14,((10.144*EXP(0.0051*D101))*(calTotal!$G$39^2)),((28.333*EXP(0.002*D101))*(calTotal!$G$39^2)))))</f>
        <v>0</v>
      </c>
      <c r="H101" s="99">
        <f>IF(Package="F324",SUM(calTotal!$D$30:$D$36)+calTotal!$M$19+F101+G101+calTotal!$N$28,IF(Package="F400",SUM(calTotal!$D$30:$D$35)+calTotal!$M$19+F101+G101+calTotal!$N$28,IF(OR(Package="W80",Package="F169"),SUM(calTotal!$D$103:$D$109)+F101+calTotal!$N$90,SUM(calTotal!$D$103:$D$108)+F101+calTotal!$N$90)))</f>
        <v>1684.5433188383333</v>
      </c>
    </row>
    <row r="102" spans="3:8" ht="15" thickBot="1" x14ac:dyDescent="0.4">
      <c r="C102" s="100">
        <v>100</v>
      </c>
      <c r="D102" s="158">
        <f>IF(OR(Package="F324",Package="F400"),calTotal!$E$16+(IF(calTotal!$E$18="None",calTotal!$E$21,calTotal!$E$20)*(H101*0.001)),calTotal!$E$89+(IF(calTotal!$E$91="None",calTotal!$E$94,calTotal!$E$93)*(H101*0.001)))</f>
        <v>111.34211007871819</v>
      </c>
      <c r="E102" s="158">
        <f>IF(OR(calTotal!$E$7="W80",calTotal!$E$7="Q100",calTotal!$E$7="Q144",calTotal!$E$7="F169",calTotal!$E$7="F256"),IF(calTotal!$E$9="Typical",IF(calTotal!$E$7="W80",(2.7909*EXP(0.0293*D102)/1.2),IF(OR(calTotal!$E$7="Q100",calTotal!$E$7="Q144"),(3.3892*EXP(0.0293*D102)/1.2),IF(calTotal!$E$7="F169",(2.7089*EXP(0.0293*D102)/1.2),IF(calTotal!$E$7="F256",(3.3892*EXP(0.0293*D102)/1.2),"Invalid")))),IF(calTotal!$E$9="Maximum",(7.2106*EXP(0.0293*D102)/1.2),"Invalid")),IF(OR(calTotal!$E$7="F324",calTotal!$E$7="F400"),IF(calTotal!$E$9="Typical",IF(calTotal!$E$7="F324",(19.1814*EXP(0.0181*D102)/1.2),IF(calTotal!$E$7="F400",(19.3955*EXP(0.0181*D102)/1.2),"Invalid")),IF(calTotal!$E$9="Maximum",(34.982*EXP(0.0181*D102)/1.2),"Invalid"))))</f>
        <v>73.743744689607169</v>
      </c>
      <c r="F102" s="159">
        <f>IF(OR(Package="F324",Package="F400"),E102*(calTotal!$G$31^2),E102*(calTotal!$G$104^2))</f>
        <v>106.19099235303432</v>
      </c>
      <c r="G102" s="159">
        <f>IF(calTotal!$G$39="-",0,IF(OR(calTotal!$E$11="Nominal",calTotal!$E$11="Maximum"),IF(AND(calTotal!$G$39&gt;=1.14,calTotal!$G$39&lt;=1.3),((10.144*EXP(0.0051*D102))*(calTotal!$G$39^2)),((28.333*EXP(0.002*D102))*(calTotal!$G$39^2))),IF(calTotal!$G$39=1.14,((10.144*EXP(0.0051*D102))*(calTotal!$G$39^2)),((28.333*EXP(0.002*D102))*(calTotal!$G$39^2)))))</f>
        <v>0</v>
      </c>
      <c r="H102" s="160">
        <f>IF(Package="F324",SUM(calTotal!$D$30:$D$36)+calTotal!$M$19+F102+G102+calTotal!$N$28,IF(Package="F400",SUM(calTotal!$D$30:$D$35)+calTotal!$M$19+F102+G102+calTotal!$N$28,IF(OR(Package="W80",Package="F169"),SUM(calTotal!$D$103:$D$109)+F102+calTotal!$N$90,SUM(calTotal!$D$103:$D$108)+F102+calTotal!$N$90)))</f>
        <v>1684.5433188383333</v>
      </c>
    </row>
    <row r="103" spans="3:8" x14ac:dyDescent="0.35">
      <c r="C103" s="12"/>
    </row>
    <row r="104" spans="3:8" x14ac:dyDescent="0.35">
      <c r="C104" s="12"/>
    </row>
    <row r="105" spans="3:8" x14ac:dyDescent="0.35">
      <c r="C105" s="12"/>
    </row>
    <row r="106" spans="3:8" x14ac:dyDescent="0.35">
      <c r="C106" s="12"/>
    </row>
    <row r="107" spans="3:8" x14ac:dyDescent="0.35">
      <c r="C107" s="12"/>
    </row>
    <row r="108" spans="3:8" x14ac:dyDescent="0.35">
      <c r="C108" s="12"/>
    </row>
    <row r="109" spans="3:8" x14ac:dyDescent="0.35">
      <c r="C109" s="12"/>
    </row>
    <row r="110" spans="3:8" x14ac:dyDescent="0.35">
      <c r="C110" s="12"/>
    </row>
    <row r="111" spans="3:8" x14ac:dyDescent="0.35">
      <c r="C111" s="12"/>
    </row>
    <row r="112" spans="3:8" x14ac:dyDescent="0.35">
      <c r="C112" s="12"/>
    </row>
    <row r="113" spans="3:3" x14ac:dyDescent="0.35">
      <c r="C113" s="12"/>
    </row>
    <row r="114" spans="3:3" x14ac:dyDescent="0.35">
      <c r="C114" s="12"/>
    </row>
    <row r="115" spans="3:3" x14ac:dyDescent="0.35">
      <c r="C115" s="12"/>
    </row>
    <row r="116" spans="3:3" x14ac:dyDescent="0.35">
      <c r="C116" s="12"/>
    </row>
    <row r="117" spans="3:3" x14ac:dyDescent="0.35">
      <c r="C117" s="12"/>
    </row>
    <row r="118" spans="3:3" x14ac:dyDescent="0.35">
      <c r="C118" s="12"/>
    </row>
    <row r="119" spans="3:3" x14ac:dyDescent="0.35">
      <c r="C119" s="12"/>
    </row>
    <row r="120" spans="3:3" x14ac:dyDescent="0.35">
      <c r="C120" s="12"/>
    </row>
    <row r="121" spans="3:3" x14ac:dyDescent="0.35">
      <c r="C121" s="12"/>
    </row>
    <row r="122" spans="3:3" x14ac:dyDescent="0.35">
      <c r="C122" s="12"/>
    </row>
    <row r="123" spans="3:3" x14ac:dyDescent="0.35">
      <c r="C123" s="12"/>
    </row>
    <row r="124" spans="3:3" x14ac:dyDescent="0.35">
      <c r="C124" s="12"/>
    </row>
    <row r="125" spans="3:3" x14ac:dyDescent="0.35">
      <c r="C125" s="12"/>
    </row>
    <row r="126" spans="3:3" x14ac:dyDescent="0.35">
      <c r="C126" s="12"/>
    </row>
    <row r="127" spans="3:3" x14ac:dyDescent="0.35">
      <c r="C127" s="12"/>
    </row>
    <row r="128" spans="3:3" x14ac:dyDescent="0.35">
      <c r="C128" s="12"/>
    </row>
    <row r="129" spans="3:3" x14ac:dyDescent="0.35">
      <c r="C129" s="12"/>
    </row>
    <row r="130" spans="3:3" x14ac:dyDescent="0.35">
      <c r="C130" s="12"/>
    </row>
    <row r="131" spans="3:3" x14ac:dyDescent="0.35">
      <c r="C131" s="12"/>
    </row>
    <row r="132" spans="3:3" x14ac:dyDescent="0.35">
      <c r="C132" s="12"/>
    </row>
    <row r="133" spans="3:3" x14ac:dyDescent="0.35">
      <c r="C133" s="12"/>
    </row>
    <row r="134" spans="3:3" x14ac:dyDescent="0.35">
      <c r="C134" s="12"/>
    </row>
    <row r="135" spans="3:3" x14ac:dyDescent="0.35">
      <c r="C135" s="12"/>
    </row>
    <row r="136" spans="3:3" x14ac:dyDescent="0.35">
      <c r="C136" s="12"/>
    </row>
    <row r="137" spans="3:3" x14ac:dyDescent="0.35">
      <c r="C137" s="12"/>
    </row>
    <row r="138" spans="3:3" x14ac:dyDescent="0.35">
      <c r="C138" s="12"/>
    </row>
    <row r="139" spans="3:3" x14ac:dyDescent="0.35">
      <c r="C139" s="12"/>
    </row>
    <row r="140" spans="3:3" x14ac:dyDescent="0.35">
      <c r="C140" s="12"/>
    </row>
    <row r="141" spans="3:3" x14ac:dyDescent="0.35">
      <c r="C141" s="12"/>
    </row>
    <row r="142" spans="3:3" x14ac:dyDescent="0.35">
      <c r="C142" s="12"/>
    </row>
    <row r="143" spans="3:3" x14ac:dyDescent="0.35">
      <c r="C143" s="12"/>
    </row>
    <row r="144" spans="3:3" x14ac:dyDescent="0.35">
      <c r="C144" s="12"/>
    </row>
    <row r="145" spans="3:3" x14ac:dyDescent="0.35">
      <c r="C145" s="12"/>
    </row>
    <row r="146" spans="3:3" x14ac:dyDescent="0.35">
      <c r="C146" s="12"/>
    </row>
    <row r="147" spans="3:3" x14ac:dyDescent="0.35">
      <c r="C147" s="12"/>
    </row>
    <row r="148" spans="3:3" x14ac:dyDescent="0.35">
      <c r="C148" s="12"/>
    </row>
    <row r="149" spans="3:3" x14ac:dyDescent="0.35">
      <c r="C149" s="12"/>
    </row>
    <row r="150" spans="3:3" x14ac:dyDescent="0.35">
      <c r="C150" s="12"/>
    </row>
    <row r="151" spans="3:3" x14ac:dyDescent="0.35">
      <c r="C151" s="12"/>
    </row>
    <row r="152" spans="3:3" x14ac:dyDescent="0.35">
      <c r="C152" s="12"/>
    </row>
    <row r="153" spans="3:3" x14ac:dyDescent="0.35">
      <c r="C153" s="12"/>
    </row>
    <row r="154" spans="3:3" x14ac:dyDescent="0.35">
      <c r="C154" s="12"/>
    </row>
    <row r="155" spans="3:3" x14ac:dyDescent="0.35">
      <c r="C155" s="12"/>
    </row>
    <row r="156" spans="3:3" x14ac:dyDescent="0.35">
      <c r="C156" s="12"/>
    </row>
    <row r="157" spans="3:3" x14ac:dyDescent="0.35">
      <c r="C157" s="12"/>
    </row>
    <row r="158" spans="3:3" x14ac:dyDescent="0.35">
      <c r="C158" s="12"/>
    </row>
    <row r="159" spans="3:3" x14ac:dyDescent="0.35">
      <c r="C159" s="12"/>
    </row>
    <row r="160" spans="3:3" x14ac:dyDescent="0.35">
      <c r="C160" s="12"/>
    </row>
    <row r="161" spans="3:3" x14ac:dyDescent="0.35">
      <c r="C161" s="12"/>
    </row>
    <row r="162" spans="3:3" x14ac:dyDescent="0.35">
      <c r="C162" s="12"/>
    </row>
    <row r="163" spans="3:3" x14ac:dyDescent="0.35">
      <c r="C163" s="12"/>
    </row>
    <row r="164" spans="3:3" x14ac:dyDescent="0.35">
      <c r="C164" s="12"/>
    </row>
    <row r="165" spans="3:3" x14ac:dyDescent="0.35">
      <c r="C165" s="12"/>
    </row>
    <row r="166" spans="3:3" x14ac:dyDescent="0.35">
      <c r="C166" s="12"/>
    </row>
    <row r="167" spans="3:3" x14ac:dyDescent="0.35">
      <c r="C167" s="12"/>
    </row>
    <row r="168" spans="3:3" x14ac:dyDescent="0.35">
      <c r="C168" s="12"/>
    </row>
    <row r="169" spans="3:3" x14ac:dyDescent="0.35">
      <c r="C169" s="12"/>
    </row>
    <row r="170" spans="3:3" x14ac:dyDescent="0.35">
      <c r="C170" s="12"/>
    </row>
    <row r="171" spans="3:3" x14ac:dyDescent="0.35">
      <c r="C171" s="12"/>
    </row>
    <row r="172" spans="3:3" x14ac:dyDescent="0.35">
      <c r="C172" s="12"/>
    </row>
    <row r="173" spans="3:3" x14ac:dyDescent="0.35">
      <c r="C173" s="12"/>
    </row>
    <row r="174" spans="3:3" x14ac:dyDescent="0.35">
      <c r="C174" s="12"/>
    </row>
    <row r="175" spans="3:3" x14ac:dyDescent="0.35">
      <c r="C175" s="12"/>
    </row>
    <row r="176" spans="3:3" x14ac:dyDescent="0.35">
      <c r="C176" s="12"/>
    </row>
    <row r="177" spans="3:3" x14ac:dyDescent="0.35">
      <c r="C177" s="12"/>
    </row>
    <row r="178" spans="3:3" x14ac:dyDescent="0.35">
      <c r="C178" s="12"/>
    </row>
    <row r="179" spans="3:3" x14ac:dyDescent="0.35">
      <c r="C179" s="12"/>
    </row>
    <row r="180" spans="3:3" x14ac:dyDescent="0.35">
      <c r="C180" s="12"/>
    </row>
    <row r="181" spans="3:3" x14ac:dyDescent="0.35">
      <c r="C181" s="12"/>
    </row>
    <row r="182" spans="3:3" x14ac:dyDescent="0.35">
      <c r="C182" s="12"/>
    </row>
    <row r="183" spans="3:3" x14ac:dyDescent="0.35">
      <c r="C183" s="12"/>
    </row>
    <row r="184" spans="3:3" x14ac:dyDescent="0.35">
      <c r="C184" s="12"/>
    </row>
    <row r="185" spans="3:3" x14ac:dyDescent="0.35">
      <c r="C185" s="12"/>
    </row>
    <row r="186" spans="3:3" x14ac:dyDescent="0.35">
      <c r="C186" s="12"/>
    </row>
    <row r="187" spans="3:3" x14ac:dyDescent="0.35">
      <c r="C187" s="12"/>
    </row>
    <row r="188" spans="3:3" x14ac:dyDescent="0.35">
      <c r="C188" s="12"/>
    </row>
    <row r="189" spans="3:3" x14ac:dyDescent="0.35">
      <c r="C189" s="12"/>
    </row>
    <row r="190" spans="3:3" x14ac:dyDescent="0.35">
      <c r="C190" s="12"/>
    </row>
    <row r="191" spans="3:3" x14ac:dyDescent="0.35">
      <c r="C191" s="12"/>
    </row>
    <row r="192" spans="3:3" x14ac:dyDescent="0.35">
      <c r="C192" s="12"/>
    </row>
    <row r="193" spans="3:3" x14ac:dyDescent="0.35">
      <c r="C193" s="12"/>
    </row>
    <row r="194" spans="3:3" x14ac:dyDescent="0.35">
      <c r="C194" s="12"/>
    </row>
    <row r="195" spans="3:3" x14ac:dyDescent="0.35">
      <c r="C195" s="12"/>
    </row>
    <row r="196" spans="3:3" x14ac:dyDescent="0.35">
      <c r="C196" s="12"/>
    </row>
    <row r="197" spans="3:3" x14ac:dyDescent="0.35">
      <c r="C197" s="12"/>
    </row>
    <row r="198" spans="3:3" x14ac:dyDescent="0.35">
      <c r="C198" s="12"/>
    </row>
    <row r="199" spans="3:3" x14ac:dyDescent="0.35">
      <c r="C199" s="12"/>
    </row>
    <row r="200" spans="3:3" x14ac:dyDescent="0.35">
      <c r="C200" s="12"/>
    </row>
    <row r="201" spans="3:3" x14ac:dyDescent="0.35">
      <c r="C201" s="12"/>
    </row>
    <row r="202" spans="3:3" x14ac:dyDescent="0.35">
      <c r="C202" s="12"/>
    </row>
    <row r="203" spans="3:3" x14ac:dyDescent="0.35">
      <c r="C203" s="12"/>
    </row>
    <row r="204" spans="3:3" x14ac:dyDescent="0.35">
      <c r="C204" s="12"/>
    </row>
    <row r="205" spans="3:3" x14ac:dyDescent="0.35">
      <c r="C205" s="12"/>
    </row>
    <row r="206" spans="3:3" x14ac:dyDescent="0.35">
      <c r="C206" s="12"/>
    </row>
    <row r="207" spans="3:3" x14ac:dyDescent="0.35">
      <c r="C207" s="12"/>
    </row>
    <row r="208" spans="3:3" x14ac:dyDescent="0.35">
      <c r="C208" s="12"/>
    </row>
    <row r="209" spans="3:3" x14ac:dyDescent="0.35">
      <c r="C209" s="12"/>
    </row>
    <row r="210" spans="3:3" x14ac:dyDescent="0.35">
      <c r="C210" s="12"/>
    </row>
    <row r="211" spans="3:3" x14ac:dyDescent="0.35">
      <c r="C211" s="12"/>
    </row>
    <row r="212" spans="3:3" x14ac:dyDescent="0.35">
      <c r="C212" s="12"/>
    </row>
    <row r="213" spans="3:3" x14ac:dyDescent="0.35">
      <c r="C213" s="12"/>
    </row>
    <row r="214" spans="3:3" x14ac:dyDescent="0.35">
      <c r="C214" s="12"/>
    </row>
    <row r="215" spans="3:3" x14ac:dyDescent="0.35">
      <c r="C215" s="12"/>
    </row>
    <row r="216" spans="3:3" x14ac:dyDescent="0.35">
      <c r="C216" s="12"/>
    </row>
    <row r="217" spans="3:3" x14ac:dyDescent="0.35">
      <c r="C217" s="12"/>
    </row>
    <row r="218" spans="3:3" x14ac:dyDescent="0.35">
      <c r="C218" s="12"/>
    </row>
    <row r="219" spans="3:3" x14ac:dyDescent="0.35">
      <c r="C219" s="12"/>
    </row>
    <row r="220" spans="3:3" x14ac:dyDescent="0.35">
      <c r="C220" s="12"/>
    </row>
    <row r="221" spans="3:3" x14ac:dyDescent="0.35">
      <c r="C221" s="12"/>
    </row>
    <row r="222" spans="3:3" x14ac:dyDescent="0.35">
      <c r="C222" s="12"/>
    </row>
    <row r="223" spans="3:3" x14ac:dyDescent="0.35">
      <c r="C223" s="12"/>
    </row>
    <row r="224" spans="3:3" x14ac:dyDescent="0.35">
      <c r="C224" s="12"/>
    </row>
    <row r="225" spans="3:3" x14ac:dyDescent="0.35">
      <c r="C225" s="12"/>
    </row>
    <row r="226" spans="3:3" x14ac:dyDescent="0.35">
      <c r="C226" s="12"/>
    </row>
    <row r="227" spans="3:3" x14ac:dyDescent="0.35">
      <c r="C227" s="12"/>
    </row>
    <row r="228" spans="3:3" x14ac:dyDescent="0.35">
      <c r="C228" s="12"/>
    </row>
    <row r="229" spans="3:3" x14ac:dyDescent="0.35">
      <c r="C229" s="12"/>
    </row>
    <row r="230" spans="3:3" x14ac:dyDescent="0.35">
      <c r="C230" s="12"/>
    </row>
    <row r="231" spans="3:3" x14ac:dyDescent="0.35">
      <c r="C231" s="12"/>
    </row>
    <row r="232" spans="3:3" x14ac:dyDescent="0.35">
      <c r="C232" s="12"/>
    </row>
    <row r="233" spans="3:3" x14ac:dyDescent="0.35">
      <c r="C233" s="12"/>
    </row>
    <row r="234" spans="3:3" x14ac:dyDescent="0.35">
      <c r="C234" s="12"/>
    </row>
    <row r="235" spans="3:3" x14ac:dyDescent="0.35">
      <c r="C235" s="12"/>
    </row>
    <row r="236" spans="3:3" x14ac:dyDescent="0.35">
      <c r="C236" s="12"/>
    </row>
    <row r="237" spans="3:3" x14ac:dyDescent="0.35">
      <c r="C237" s="12"/>
    </row>
    <row r="238" spans="3:3" x14ac:dyDescent="0.35">
      <c r="C238" s="12"/>
    </row>
    <row r="239" spans="3:3" x14ac:dyDescent="0.35">
      <c r="C239" s="12"/>
    </row>
    <row r="240" spans="3:3" x14ac:dyDescent="0.35">
      <c r="C240" s="12"/>
    </row>
    <row r="241" spans="3:3" x14ac:dyDescent="0.35">
      <c r="C241" s="12"/>
    </row>
    <row r="242" spans="3:3" x14ac:dyDescent="0.35">
      <c r="C242" s="12"/>
    </row>
    <row r="243" spans="3:3" x14ac:dyDescent="0.35">
      <c r="C243" s="12"/>
    </row>
    <row r="244" spans="3:3" x14ac:dyDescent="0.35">
      <c r="C244" s="12"/>
    </row>
    <row r="245" spans="3:3" x14ac:dyDescent="0.35">
      <c r="C245" s="12"/>
    </row>
    <row r="246" spans="3:3" x14ac:dyDescent="0.35">
      <c r="C246" s="12"/>
    </row>
    <row r="247" spans="3:3" x14ac:dyDescent="0.35">
      <c r="C247" s="12"/>
    </row>
    <row r="248" spans="3:3" x14ac:dyDescent="0.35">
      <c r="C248" s="12"/>
    </row>
    <row r="249" spans="3:3" x14ac:dyDescent="0.35">
      <c r="C249" s="12"/>
    </row>
    <row r="250" spans="3:3" x14ac:dyDescent="0.35">
      <c r="C250" s="12"/>
    </row>
    <row r="251" spans="3:3" x14ac:dyDescent="0.35">
      <c r="C251" s="12"/>
    </row>
    <row r="252" spans="3:3" x14ac:dyDescent="0.35">
      <c r="C252" s="12"/>
    </row>
    <row r="253" spans="3:3" x14ac:dyDescent="0.35">
      <c r="C253" s="12"/>
    </row>
    <row r="254" spans="3:3" x14ac:dyDescent="0.35">
      <c r="C254" s="12"/>
    </row>
    <row r="255" spans="3:3" x14ac:dyDescent="0.35">
      <c r="C255" s="12"/>
    </row>
    <row r="256" spans="3:3" x14ac:dyDescent="0.35">
      <c r="C256" s="12"/>
    </row>
  </sheetData>
  <sheetProtection algorithmName="SHA-512" hashValue="8OuIdjNhUQEQWGls6dJohXGPwqNT1U8YdcKnwKSJo+ZV6azvsnv3Z4ddk+wwMI/rpur6lGbbcVeXV0rrve9/Bw==" saltValue="+smwRVcLGXcUxpIHd/Ob9A==" spinCount="100000" sheet="1" objects="1" scenarios="1"/>
  <mergeCells count="1">
    <mergeCell ref="E1:F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29"/>
  <sheetViews>
    <sheetView showGridLines="0" showRowColHeaders="0" zoomScale="145" zoomScaleNormal="145" workbookViewId="0">
      <selection activeCell="E6" sqref="E6"/>
    </sheetView>
  </sheetViews>
  <sheetFormatPr defaultColWidth="9.1796875" defaultRowHeight="14.5" x14ac:dyDescent="0.35"/>
  <cols>
    <col min="1" max="1" width="13.453125" style="3" customWidth="1"/>
    <col min="2" max="2" width="21.453125" style="1" customWidth="1"/>
    <col min="3" max="3" width="21.26953125" style="1" customWidth="1"/>
    <col min="4" max="4" width="21.453125" style="1" customWidth="1"/>
    <col min="5" max="5" width="8.81640625" style="1" customWidth="1"/>
    <col min="6" max="6" width="12.54296875" style="1" customWidth="1"/>
    <col min="7" max="7" width="15" style="1" customWidth="1"/>
    <col min="8" max="9" width="9.1796875" style="1"/>
    <col min="10" max="10" width="15.453125" style="1" bestFit="1" customWidth="1"/>
    <col min="11" max="11" width="9.54296875" style="1" bestFit="1" customWidth="1"/>
    <col min="12" max="16384" width="9.1796875" style="1"/>
  </cols>
  <sheetData>
    <row r="1" spans="1:11" ht="26" x14ac:dyDescent="0.35">
      <c r="A1" s="202" t="s">
        <v>82</v>
      </c>
      <c r="B1" s="202"/>
      <c r="C1" s="202"/>
    </row>
    <row r="2" spans="1:11" ht="21" x14ac:dyDescent="0.5">
      <c r="A2" s="102" t="s">
        <v>24</v>
      </c>
      <c r="B2" s="103">
        <f>IF(calTotal!E10="No",IF(calTotal!E11="Nominal",1.2,IF(calTotal!E11="Minimum",1.15,IF(calTotal!E11="Maximum",1.25,"Invalid"))),IF(calTotal!E11="Nominal",1.1,IF(calTotal!E11="Minimum",1.05,IF(calTotal!E11="Maximum",1.15,"Invalid"))))</f>
        <v>1.2</v>
      </c>
      <c r="C2" s="104">
        <f>SUM(F5:F23)</f>
        <v>947.24986291199991</v>
      </c>
      <c r="J2" s="23"/>
      <c r="K2" s="23"/>
    </row>
    <row r="4" spans="1:11" s="4" customFormat="1" x14ac:dyDescent="0.35">
      <c r="A4" s="105" t="s">
        <v>83</v>
      </c>
      <c r="B4" s="106" t="s">
        <v>84</v>
      </c>
      <c r="C4" s="106" t="s">
        <v>85</v>
      </c>
      <c r="D4" s="106" t="s">
        <v>86</v>
      </c>
      <c r="E4" s="106" t="s">
        <v>87</v>
      </c>
      <c r="F4" s="106" t="s">
        <v>88</v>
      </c>
    </row>
    <row r="5" spans="1:11" x14ac:dyDescent="0.35">
      <c r="A5" s="75"/>
      <c r="B5" s="75">
        <v>300</v>
      </c>
      <c r="C5" s="75">
        <f>19728*0.75</f>
        <v>14796</v>
      </c>
      <c r="D5" s="75">
        <v>14796</v>
      </c>
      <c r="E5" s="132">
        <v>0.5</v>
      </c>
      <c r="F5" s="107">
        <f>(0.00010661*($B$2^2)*B5*C5*(E5))+(0.000189782*($B$2^2)*D5*B5*(E5))</f>
        <v>947.24986291199991</v>
      </c>
    </row>
    <row r="6" spans="1:11" x14ac:dyDescent="0.35">
      <c r="A6" s="75"/>
      <c r="B6" s="76"/>
      <c r="C6" s="75"/>
      <c r="D6" s="75"/>
      <c r="E6" s="132">
        <v>0.125</v>
      </c>
      <c r="F6" s="107">
        <f t="shared" ref="F6:F23" si="0">(0.00010661*($B$2^2)*B6*C6*(E6))+(0.000189782*($B$2^2)*D6*B6*(E6))</f>
        <v>0</v>
      </c>
    </row>
    <row r="7" spans="1:11" x14ac:dyDescent="0.35">
      <c r="A7" s="75"/>
      <c r="B7" s="76"/>
      <c r="C7" s="75"/>
      <c r="D7" s="75"/>
      <c r="E7" s="132">
        <v>0.125</v>
      </c>
      <c r="F7" s="107">
        <f t="shared" si="0"/>
        <v>0</v>
      </c>
    </row>
    <row r="8" spans="1:11" x14ac:dyDescent="0.35">
      <c r="A8" s="75"/>
      <c r="B8" s="76"/>
      <c r="C8" s="75"/>
      <c r="D8" s="75"/>
      <c r="E8" s="132">
        <v>0.125</v>
      </c>
      <c r="F8" s="107">
        <f t="shared" si="0"/>
        <v>0</v>
      </c>
    </row>
    <row r="9" spans="1:11" x14ac:dyDescent="0.35">
      <c r="A9" s="75"/>
      <c r="B9" s="76"/>
      <c r="C9" s="75"/>
      <c r="D9" s="75"/>
      <c r="E9" s="132">
        <v>0.125</v>
      </c>
      <c r="F9" s="107">
        <f t="shared" si="0"/>
        <v>0</v>
      </c>
    </row>
    <row r="10" spans="1:11" x14ac:dyDescent="0.35">
      <c r="A10" s="75"/>
      <c r="B10" s="75"/>
      <c r="C10" s="75"/>
      <c r="D10" s="75"/>
      <c r="E10" s="132">
        <v>0.125</v>
      </c>
      <c r="F10" s="107">
        <f t="shared" si="0"/>
        <v>0</v>
      </c>
    </row>
    <row r="11" spans="1:11" hidden="1" x14ac:dyDescent="0.35">
      <c r="A11" s="75"/>
      <c r="B11" s="75"/>
      <c r="C11" s="75"/>
      <c r="D11" s="75"/>
      <c r="E11" s="132">
        <v>0.125</v>
      </c>
      <c r="F11" s="107">
        <f t="shared" si="0"/>
        <v>0</v>
      </c>
    </row>
    <row r="12" spans="1:11" hidden="1" x14ac:dyDescent="0.35">
      <c r="A12" s="75"/>
      <c r="B12" s="75"/>
      <c r="C12" s="75"/>
      <c r="D12" s="75"/>
      <c r="E12" s="132">
        <v>0.125</v>
      </c>
      <c r="F12" s="107">
        <f t="shared" si="0"/>
        <v>0</v>
      </c>
    </row>
    <row r="13" spans="1:11" hidden="1" x14ac:dyDescent="0.35">
      <c r="A13" s="75"/>
      <c r="B13" s="75"/>
      <c r="C13" s="75"/>
      <c r="D13" s="75"/>
      <c r="E13" s="132">
        <v>0.125</v>
      </c>
      <c r="F13" s="107">
        <f t="shared" si="0"/>
        <v>0</v>
      </c>
    </row>
    <row r="14" spans="1:11" hidden="1" x14ac:dyDescent="0.35">
      <c r="A14" s="75"/>
      <c r="B14" s="75"/>
      <c r="C14" s="75"/>
      <c r="D14" s="75"/>
      <c r="E14" s="132">
        <v>0.125</v>
      </c>
      <c r="F14" s="107">
        <f t="shared" si="0"/>
        <v>0</v>
      </c>
    </row>
    <row r="15" spans="1:11" hidden="1" x14ac:dyDescent="0.35">
      <c r="A15" s="75"/>
      <c r="B15" s="75"/>
      <c r="C15" s="75"/>
      <c r="D15" s="75"/>
      <c r="E15" s="132">
        <v>0.125</v>
      </c>
      <c r="F15" s="107">
        <f t="shared" si="0"/>
        <v>0</v>
      </c>
    </row>
    <row r="16" spans="1:11" hidden="1" x14ac:dyDescent="0.35">
      <c r="A16" s="75"/>
      <c r="B16" s="75"/>
      <c r="C16" s="75"/>
      <c r="D16" s="75"/>
      <c r="E16" s="132">
        <v>0.125</v>
      </c>
      <c r="F16" s="107">
        <f t="shared" si="0"/>
        <v>0</v>
      </c>
    </row>
    <row r="17" spans="1:6" hidden="1" x14ac:dyDescent="0.35">
      <c r="A17" s="75"/>
      <c r="B17" s="75"/>
      <c r="C17" s="75"/>
      <c r="D17" s="75"/>
      <c r="E17" s="132">
        <v>0.125</v>
      </c>
      <c r="F17" s="107">
        <f t="shared" si="0"/>
        <v>0</v>
      </c>
    </row>
    <row r="18" spans="1:6" hidden="1" x14ac:dyDescent="0.35">
      <c r="A18" s="75"/>
      <c r="B18" s="75"/>
      <c r="C18" s="75"/>
      <c r="D18" s="75"/>
      <c r="E18" s="132">
        <v>0.125</v>
      </c>
      <c r="F18" s="107">
        <f t="shared" si="0"/>
        <v>0</v>
      </c>
    </row>
    <row r="19" spans="1:6" hidden="1" x14ac:dyDescent="0.35">
      <c r="A19" s="75"/>
      <c r="B19" s="75"/>
      <c r="C19" s="75"/>
      <c r="D19" s="75"/>
      <c r="E19" s="132">
        <v>0.125</v>
      </c>
      <c r="F19" s="107">
        <f t="shared" si="0"/>
        <v>0</v>
      </c>
    </row>
    <row r="20" spans="1:6" hidden="1" x14ac:dyDescent="0.35">
      <c r="A20" s="75"/>
      <c r="B20" s="75"/>
      <c r="C20" s="75"/>
      <c r="D20" s="75"/>
      <c r="E20" s="132">
        <v>0.125</v>
      </c>
      <c r="F20" s="107">
        <f t="shared" si="0"/>
        <v>0</v>
      </c>
    </row>
    <row r="21" spans="1:6" hidden="1" x14ac:dyDescent="0.35">
      <c r="A21" s="75"/>
      <c r="B21" s="75"/>
      <c r="C21" s="75"/>
      <c r="D21" s="75"/>
      <c r="E21" s="132">
        <v>0.125</v>
      </c>
      <c r="F21" s="107">
        <f t="shared" si="0"/>
        <v>0</v>
      </c>
    </row>
    <row r="22" spans="1:6" hidden="1" x14ac:dyDescent="0.35">
      <c r="A22" s="75"/>
      <c r="B22" s="75"/>
      <c r="C22" s="75"/>
      <c r="D22" s="75"/>
      <c r="E22" s="132">
        <v>0.125</v>
      </c>
      <c r="F22" s="107">
        <f t="shared" si="0"/>
        <v>0</v>
      </c>
    </row>
    <row r="23" spans="1:6" hidden="1" x14ac:dyDescent="0.35">
      <c r="A23" s="75"/>
      <c r="B23" s="75"/>
      <c r="C23" s="75"/>
      <c r="D23" s="75"/>
      <c r="E23" s="132">
        <v>0.125</v>
      </c>
      <c r="F23" s="107">
        <f t="shared" si="0"/>
        <v>0</v>
      </c>
    </row>
    <row r="24" spans="1:6" x14ac:dyDescent="0.35">
      <c r="A24" s="1"/>
    </row>
    <row r="29" spans="1:6" x14ac:dyDescent="0.35">
      <c r="A29" s="2"/>
    </row>
  </sheetData>
  <sheetProtection algorithmName="SHA-512" hashValue="8SEMvx2ag4ZDNwK45PjG+3XoxcmzzwygwEA7RyxqqiG6itIibSxoC6dFrBbwcKqroxQL5xp24z8OieOmUx72UA==" saltValue="4Iznk7y3uLIHbHDmXCN94w==" spinCount="100000" sheet="1" objects="1" scenarios="1"/>
  <mergeCells count="1">
    <mergeCell ref="A1:C1"/>
  </mergeCells>
  <dataValidations count="7">
    <dataValidation allowBlank="1" showInputMessage="1" showErrorMessage="1" promptTitle="Activity Factor" prompt="The output change value with respect to the clock cycle. An AF of 100% meant every positive edge (or every negative edge) of the clock, the output is change value" sqref="E4" xr:uid="{BFC45BB8-53C4-49EA-A635-CCA8CDFC73D8}"/>
    <dataValidation allowBlank="1" showInputMessage="1" showErrorMessage="1" promptTitle="Number of LUTs" prompt="Valid range from 0 - 19728" sqref="C4" xr:uid="{534F056F-16CA-4B00-9BC8-5A52AD08DC3D}"/>
    <dataValidation allowBlank="1" showInputMessage="1" showErrorMessage="1" promptTitle="Number of FFs" prompt="Valid range from 0 - 13920_x000a_" sqref="D4" xr:uid="{F126F3CC-F0FD-4D7B-A854-CF1B518F0798}"/>
    <dataValidation type="decimal" allowBlank="1" showInputMessage="1" showErrorMessage="1" error="Only valid from 0% - 100%_x000a_" sqref="E5:E23" xr:uid="{0ADAAFC5-665F-4D86-9FB7-318802C01270}">
      <formula1>0</formula1>
      <formula2>1</formula2>
    </dataValidation>
    <dataValidation type="whole" allowBlank="1" showInputMessage="1" showErrorMessage="1" error="Valid range from 0 - 13920" prompt="Valid range from 0 - 13920" sqref="D5:D23" xr:uid="{E34DF49F-0453-4BF2-8DDD-DA81215F0C1C}">
      <formula1>0</formula1>
      <formula2>13920</formula2>
    </dataValidation>
    <dataValidation type="whole" allowBlank="1" showInputMessage="1" showErrorMessage="1" error="Valid range from 0 - 19728_x000a_" prompt="Valid range from 0 - 19728" sqref="C5:C23" xr:uid="{AF6CB33A-600E-4C49-BCFC-1095EE896F53}">
      <formula1>0</formula1>
      <formula2>19728</formula2>
    </dataValidation>
    <dataValidation type="decimal" allowBlank="1" showInputMessage="1" showErrorMessage="1" error="Valid range from 0 - 400 MHz" prompt="Valid range from 0 - 400 MHz" sqref="B5:B23" xr:uid="{5E6E424F-6668-4BFB-B8DB-4D5E1DE0BF23}">
      <formula1>0</formula1>
      <formula2>400</formula2>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23"/>
  <sheetViews>
    <sheetView showGridLines="0" showRowColHeaders="0" zoomScale="160" zoomScaleNormal="160" workbookViewId="0">
      <selection activeCell="D6" sqref="D6"/>
    </sheetView>
  </sheetViews>
  <sheetFormatPr defaultColWidth="9.1796875" defaultRowHeight="14.5" x14ac:dyDescent="0.35"/>
  <cols>
    <col min="1" max="1" width="13.453125" style="1" bestFit="1" customWidth="1"/>
    <col min="2" max="2" width="21.26953125" style="124" customWidth="1"/>
    <col min="3" max="3" width="21.26953125" style="1" customWidth="1"/>
    <col min="4" max="4" width="8.81640625" style="1" customWidth="1"/>
    <col min="5" max="5" width="12.453125" style="1" customWidth="1"/>
    <col min="6" max="16384" width="9.1796875" style="1"/>
  </cols>
  <sheetData>
    <row r="1" spans="1:5" ht="26" x14ac:dyDescent="0.35">
      <c r="A1" s="202" t="s">
        <v>89</v>
      </c>
      <c r="B1" s="202"/>
      <c r="C1" s="202"/>
    </row>
    <row r="2" spans="1:5" ht="21" x14ac:dyDescent="0.5">
      <c r="A2" s="102" t="s">
        <v>24</v>
      </c>
      <c r="B2" s="103">
        <f>IF(calTotal!E10="No",IF(calTotal!E11="Nominal",1.2,IF(calTotal!E11="Minimum",1.15,IF(calTotal!E11="Maximum",1.25,"Invalid"))),IF(calTotal!E11="Nominal",1.1,IF(calTotal!E11="Minimum",1.05,IF(calTotal!E11="Maximum",1.15,"Invalid"))))</f>
        <v>1.2</v>
      </c>
      <c r="C2" s="104">
        <f>SUM(E5:E23)</f>
        <v>430.18581600000005</v>
      </c>
    </row>
    <row r="4" spans="1:5" s="5" customFormat="1" x14ac:dyDescent="0.35">
      <c r="A4" s="105" t="s">
        <v>83</v>
      </c>
      <c r="B4" s="105" t="s">
        <v>84</v>
      </c>
      <c r="C4" s="105" t="s">
        <v>90</v>
      </c>
      <c r="D4" s="105" t="s">
        <v>87</v>
      </c>
      <c r="E4" s="105" t="s">
        <v>88</v>
      </c>
    </row>
    <row r="5" spans="1:5" x14ac:dyDescent="0.35">
      <c r="A5" s="80"/>
      <c r="B5" s="75">
        <v>300</v>
      </c>
      <c r="C5" s="80">
        <f>204*0.75</f>
        <v>153</v>
      </c>
      <c r="D5" s="128">
        <v>0.5</v>
      </c>
      <c r="E5" s="49">
        <f>0.013017*($B$2^2)*B5*C5*(D5)</f>
        <v>430.18581600000005</v>
      </c>
    </row>
    <row r="6" spans="1:5" x14ac:dyDescent="0.35">
      <c r="A6" s="80"/>
      <c r="B6" s="75"/>
      <c r="C6" s="80"/>
      <c r="D6" s="128">
        <v>0.125</v>
      </c>
      <c r="E6" s="49">
        <f t="shared" ref="E6:E23" si="0">0.013017*($B$2^2)*B6*C6*(D6)</f>
        <v>0</v>
      </c>
    </row>
    <row r="7" spans="1:5" x14ac:dyDescent="0.35">
      <c r="A7" s="80"/>
      <c r="B7" s="75"/>
      <c r="C7" s="80"/>
      <c r="D7" s="128">
        <v>0.125</v>
      </c>
      <c r="E7" s="49">
        <f t="shared" si="0"/>
        <v>0</v>
      </c>
    </row>
    <row r="8" spans="1:5" x14ac:dyDescent="0.35">
      <c r="A8" s="80"/>
      <c r="B8" s="75"/>
      <c r="C8" s="80"/>
      <c r="D8" s="128">
        <v>0.125</v>
      </c>
      <c r="E8" s="49">
        <f t="shared" si="0"/>
        <v>0</v>
      </c>
    </row>
    <row r="9" spans="1:5" x14ac:dyDescent="0.35">
      <c r="A9" s="80"/>
      <c r="B9" s="75"/>
      <c r="C9" s="80"/>
      <c r="D9" s="128">
        <v>0.125</v>
      </c>
      <c r="E9" s="49">
        <f t="shared" si="0"/>
        <v>0</v>
      </c>
    </row>
    <row r="10" spans="1:5" x14ac:dyDescent="0.35">
      <c r="A10" s="80"/>
      <c r="B10" s="75"/>
      <c r="C10" s="80"/>
      <c r="D10" s="128">
        <v>0.125</v>
      </c>
      <c r="E10" s="49">
        <f t="shared" si="0"/>
        <v>0</v>
      </c>
    </row>
    <row r="11" spans="1:5" hidden="1" x14ac:dyDescent="0.35">
      <c r="A11" s="80"/>
      <c r="B11" s="75"/>
      <c r="C11" s="80"/>
      <c r="D11" s="128">
        <v>0.125</v>
      </c>
      <c r="E11" s="49">
        <f t="shared" si="0"/>
        <v>0</v>
      </c>
    </row>
    <row r="12" spans="1:5" hidden="1" x14ac:dyDescent="0.35">
      <c r="A12" s="80"/>
      <c r="B12" s="75"/>
      <c r="C12" s="80"/>
      <c r="D12" s="128">
        <v>0.125</v>
      </c>
      <c r="E12" s="49">
        <f t="shared" si="0"/>
        <v>0</v>
      </c>
    </row>
    <row r="13" spans="1:5" hidden="1" x14ac:dyDescent="0.35">
      <c r="A13" s="80"/>
      <c r="B13" s="75"/>
      <c r="C13" s="80"/>
      <c r="D13" s="128">
        <v>0.125</v>
      </c>
      <c r="E13" s="49">
        <f t="shared" si="0"/>
        <v>0</v>
      </c>
    </row>
    <row r="14" spans="1:5" hidden="1" x14ac:dyDescent="0.35">
      <c r="A14" s="80"/>
      <c r="B14" s="75"/>
      <c r="C14" s="80"/>
      <c r="D14" s="128">
        <v>0.125</v>
      </c>
      <c r="E14" s="49">
        <f t="shared" si="0"/>
        <v>0</v>
      </c>
    </row>
    <row r="15" spans="1:5" hidden="1" x14ac:dyDescent="0.35">
      <c r="A15" s="80"/>
      <c r="B15" s="75"/>
      <c r="C15" s="80"/>
      <c r="D15" s="128">
        <v>0.125</v>
      </c>
      <c r="E15" s="49">
        <f t="shared" si="0"/>
        <v>0</v>
      </c>
    </row>
    <row r="16" spans="1:5" hidden="1" x14ac:dyDescent="0.35">
      <c r="A16" s="80"/>
      <c r="B16" s="75"/>
      <c r="C16" s="80"/>
      <c r="D16" s="128">
        <v>0.125</v>
      </c>
      <c r="E16" s="49">
        <f t="shared" si="0"/>
        <v>0</v>
      </c>
    </row>
    <row r="17" spans="1:5" hidden="1" x14ac:dyDescent="0.35">
      <c r="A17" s="80"/>
      <c r="B17" s="75"/>
      <c r="C17" s="80"/>
      <c r="D17" s="128">
        <v>0.125</v>
      </c>
      <c r="E17" s="49">
        <f t="shared" si="0"/>
        <v>0</v>
      </c>
    </row>
    <row r="18" spans="1:5" hidden="1" x14ac:dyDescent="0.35">
      <c r="A18" s="80"/>
      <c r="B18" s="75"/>
      <c r="C18" s="80"/>
      <c r="D18" s="128">
        <v>0.125</v>
      </c>
      <c r="E18" s="49">
        <f t="shared" si="0"/>
        <v>0</v>
      </c>
    </row>
    <row r="19" spans="1:5" hidden="1" x14ac:dyDescent="0.35">
      <c r="A19" s="80"/>
      <c r="B19" s="75"/>
      <c r="C19" s="80"/>
      <c r="D19" s="128">
        <v>0.125</v>
      </c>
      <c r="E19" s="49">
        <f t="shared" si="0"/>
        <v>0</v>
      </c>
    </row>
    <row r="20" spans="1:5" hidden="1" x14ac:dyDescent="0.35">
      <c r="A20" s="80"/>
      <c r="B20" s="75"/>
      <c r="C20" s="80"/>
      <c r="D20" s="128">
        <v>0.125</v>
      </c>
      <c r="E20" s="49">
        <f t="shared" si="0"/>
        <v>0</v>
      </c>
    </row>
    <row r="21" spans="1:5" hidden="1" x14ac:dyDescent="0.35">
      <c r="A21" s="80"/>
      <c r="B21" s="75"/>
      <c r="C21" s="80"/>
      <c r="D21" s="128">
        <v>0.125</v>
      </c>
      <c r="E21" s="49">
        <f t="shared" si="0"/>
        <v>0</v>
      </c>
    </row>
    <row r="22" spans="1:5" hidden="1" x14ac:dyDescent="0.35">
      <c r="A22" s="80"/>
      <c r="B22" s="75"/>
      <c r="C22" s="80"/>
      <c r="D22" s="128">
        <v>0.125</v>
      </c>
      <c r="E22" s="49">
        <f t="shared" si="0"/>
        <v>0</v>
      </c>
    </row>
    <row r="23" spans="1:5" hidden="1" x14ac:dyDescent="0.35">
      <c r="A23" s="80"/>
      <c r="B23" s="75"/>
      <c r="C23" s="80"/>
      <c r="D23" s="128">
        <v>0.125</v>
      </c>
      <c r="E23" s="49">
        <f t="shared" si="0"/>
        <v>0</v>
      </c>
    </row>
  </sheetData>
  <sheetProtection algorithmName="SHA-512" hashValue="hTARZTSR7kjy2OcjmbjeOzAChVl6iXVpWCgnJ1ZWnBmWyb3kDK0xey3T1hZtGkJHbwNVulL/JjMIX1x7ngweVQ==" saltValue="UWuYWkIW//URN4SO0dC2gQ==" spinCount="100000" sheet="1" objects="1" scenarios="1"/>
  <mergeCells count="1">
    <mergeCell ref="A1:C1"/>
  </mergeCells>
  <dataValidations count="5">
    <dataValidation allowBlank="1" showInputMessage="1" showErrorMessage="1" promptTitle="Activity Factor" prompt="The output change value with respect to the clock cycle. An AF of 100% meant every positive edge (or every negative edge) of the clock, the output is change value" sqref="D4" xr:uid="{CF461E49-FD40-41D2-9A1F-0076C7A168E5}"/>
    <dataValidation allowBlank="1" showInputMessage="1" showErrorMessage="1" error="_x000a_" promptTitle="Number of Memory Blocks" prompt="Valid range from 0 - 204" sqref="C4" xr:uid="{673AF9F8-BE1D-4CC3-B6A5-C9CD63B05BB5}"/>
    <dataValidation type="decimal" allowBlank="1" showInputMessage="1" showErrorMessage="1" error="Only valid from 0% - 100%_x000a__x000a_" sqref="D5:D23" xr:uid="{07173911-7AD0-4127-97AE-5779FB142450}">
      <formula1>0</formula1>
      <formula2>1</formula2>
    </dataValidation>
    <dataValidation type="whole" allowBlank="1" showInputMessage="1" showErrorMessage="1" error="Valid range from 0 - 204" prompt="Valid range from 0 - 204" sqref="C5:C23" xr:uid="{6BFBD44C-CFFA-443D-9346-5C6026E6B9AC}">
      <formula1>0</formula1>
      <formula2>204</formula2>
    </dataValidation>
    <dataValidation type="decimal" allowBlank="1" showInputMessage="1" showErrorMessage="1" error="Valid range from 0 - 400 MHz" prompt="Valid range from 0 - 400 MHz" sqref="B5:B23" xr:uid="{2783FC3F-D4F8-48A5-921B-B1ADE3D3F6BC}">
      <formula1>0</formula1>
      <formula2>400</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23"/>
  <sheetViews>
    <sheetView showGridLines="0" showRowColHeaders="0" zoomScale="160" zoomScaleNormal="160" workbookViewId="0">
      <selection activeCell="D6" sqref="D6"/>
    </sheetView>
  </sheetViews>
  <sheetFormatPr defaultColWidth="9.1796875" defaultRowHeight="14.5" x14ac:dyDescent="0.35"/>
  <cols>
    <col min="1" max="1" width="13.453125" style="1" bestFit="1" customWidth="1"/>
    <col min="2" max="3" width="21.26953125" style="1" customWidth="1"/>
    <col min="4" max="4" width="8.7265625" style="1" customWidth="1"/>
    <col min="5" max="5" width="12.453125" style="1" customWidth="1"/>
    <col min="6" max="16384" width="9.1796875" style="1"/>
  </cols>
  <sheetData>
    <row r="1" spans="1:5" ht="26" x14ac:dyDescent="0.35">
      <c r="A1" s="202" t="s">
        <v>91</v>
      </c>
      <c r="B1" s="202"/>
      <c r="C1" s="202"/>
    </row>
    <row r="2" spans="1:5" ht="21" x14ac:dyDescent="0.5">
      <c r="A2" s="102" t="s">
        <v>24</v>
      </c>
      <c r="B2" s="103">
        <f>IF(calTotal!E10="No",IF(calTotal!E11="Nominal",1.2,IF(calTotal!E11="Minimum",1.15,IF(calTotal!E11="Maximum",1.25,"Invalid"))),IF(calTotal!E11="Nominal",1.1,IF(calTotal!E11="Minimum",1.05,IF(calTotal!E11="Maximum",1.15,"Invalid"))))</f>
        <v>1.2</v>
      </c>
      <c r="C2" s="104">
        <f>SUM(E5:E23)</f>
        <v>128.24183087999998</v>
      </c>
    </row>
    <row r="4" spans="1:5" x14ac:dyDescent="0.35">
      <c r="A4" s="106" t="s">
        <v>83</v>
      </c>
      <c r="B4" s="106" t="s">
        <v>84</v>
      </c>
      <c r="C4" s="105" t="s">
        <v>92</v>
      </c>
      <c r="D4" s="106" t="s">
        <v>87</v>
      </c>
      <c r="E4" s="106" t="s">
        <v>88</v>
      </c>
    </row>
    <row r="5" spans="1:5" x14ac:dyDescent="0.35">
      <c r="A5" s="80"/>
      <c r="B5" s="80">
        <v>300</v>
      </c>
      <c r="C5" s="80">
        <v>36</v>
      </c>
      <c r="D5" s="128">
        <v>0.75</v>
      </c>
      <c r="E5" s="49">
        <f>0.01099467*($B$2^2)*B5*C5*(D5)</f>
        <v>128.24183087999998</v>
      </c>
    </row>
    <row r="6" spans="1:5" x14ac:dyDescent="0.35">
      <c r="A6" s="80"/>
      <c r="B6" s="80"/>
      <c r="C6" s="80"/>
      <c r="D6" s="128">
        <v>0.125</v>
      </c>
      <c r="E6" s="49">
        <f t="shared" ref="E6:E23" si="0">0.01099467*($B$2^2)*B6*C6*(D6)</f>
        <v>0</v>
      </c>
    </row>
    <row r="7" spans="1:5" x14ac:dyDescent="0.35">
      <c r="A7" s="80"/>
      <c r="B7" s="80"/>
      <c r="C7" s="80"/>
      <c r="D7" s="128">
        <v>0.125</v>
      </c>
      <c r="E7" s="49">
        <f t="shared" si="0"/>
        <v>0</v>
      </c>
    </row>
    <row r="8" spans="1:5" x14ac:dyDescent="0.35">
      <c r="A8" s="80"/>
      <c r="B8" s="80"/>
      <c r="C8" s="80"/>
      <c r="D8" s="128">
        <v>0.125</v>
      </c>
      <c r="E8" s="49">
        <f t="shared" si="0"/>
        <v>0</v>
      </c>
    </row>
    <row r="9" spans="1:5" x14ac:dyDescent="0.35">
      <c r="A9" s="80"/>
      <c r="B9" s="80"/>
      <c r="C9" s="80"/>
      <c r="D9" s="128">
        <v>0.125</v>
      </c>
      <c r="E9" s="49">
        <f t="shared" si="0"/>
        <v>0</v>
      </c>
    </row>
    <row r="10" spans="1:5" x14ac:dyDescent="0.35">
      <c r="A10" s="80"/>
      <c r="B10" s="80"/>
      <c r="C10" s="80"/>
      <c r="D10" s="128">
        <v>0.125</v>
      </c>
      <c r="E10" s="49">
        <f t="shared" si="0"/>
        <v>0</v>
      </c>
    </row>
    <row r="11" spans="1:5" hidden="1" x14ac:dyDescent="0.35">
      <c r="A11" s="80"/>
      <c r="B11" s="80"/>
      <c r="C11" s="80"/>
      <c r="D11" s="128">
        <v>0.125</v>
      </c>
      <c r="E11" s="49">
        <f t="shared" si="0"/>
        <v>0</v>
      </c>
    </row>
    <row r="12" spans="1:5" hidden="1" x14ac:dyDescent="0.35">
      <c r="A12" s="80"/>
      <c r="B12" s="80"/>
      <c r="C12" s="80"/>
      <c r="D12" s="128">
        <v>0.125</v>
      </c>
      <c r="E12" s="49">
        <f t="shared" si="0"/>
        <v>0</v>
      </c>
    </row>
    <row r="13" spans="1:5" hidden="1" x14ac:dyDescent="0.35">
      <c r="A13" s="80"/>
      <c r="B13" s="80"/>
      <c r="C13" s="80"/>
      <c r="D13" s="128">
        <v>0.125</v>
      </c>
      <c r="E13" s="49">
        <f t="shared" si="0"/>
        <v>0</v>
      </c>
    </row>
    <row r="14" spans="1:5" hidden="1" x14ac:dyDescent="0.35">
      <c r="A14" s="80"/>
      <c r="B14" s="80"/>
      <c r="C14" s="80"/>
      <c r="D14" s="128">
        <v>0.125</v>
      </c>
      <c r="E14" s="49">
        <f t="shared" si="0"/>
        <v>0</v>
      </c>
    </row>
    <row r="15" spans="1:5" hidden="1" x14ac:dyDescent="0.35">
      <c r="A15" s="80"/>
      <c r="B15" s="80"/>
      <c r="C15" s="80"/>
      <c r="D15" s="128">
        <v>0.125</v>
      </c>
      <c r="E15" s="49">
        <f t="shared" si="0"/>
        <v>0</v>
      </c>
    </row>
    <row r="16" spans="1:5" hidden="1" x14ac:dyDescent="0.35">
      <c r="A16" s="80"/>
      <c r="B16" s="80"/>
      <c r="C16" s="80"/>
      <c r="D16" s="128">
        <v>0.125</v>
      </c>
      <c r="E16" s="49">
        <f t="shared" si="0"/>
        <v>0</v>
      </c>
    </row>
    <row r="17" spans="1:5" hidden="1" x14ac:dyDescent="0.35">
      <c r="A17" s="80"/>
      <c r="B17" s="80"/>
      <c r="C17" s="80"/>
      <c r="D17" s="128">
        <v>0.125</v>
      </c>
      <c r="E17" s="49">
        <f t="shared" si="0"/>
        <v>0</v>
      </c>
    </row>
    <row r="18" spans="1:5" hidden="1" x14ac:dyDescent="0.35">
      <c r="A18" s="80"/>
      <c r="B18" s="80"/>
      <c r="C18" s="80"/>
      <c r="D18" s="128">
        <v>0.125</v>
      </c>
      <c r="E18" s="49">
        <f t="shared" si="0"/>
        <v>0</v>
      </c>
    </row>
    <row r="19" spans="1:5" hidden="1" x14ac:dyDescent="0.35">
      <c r="A19" s="80"/>
      <c r="B19" s="80"/>
      <c r="C19" s="80"/>
      <c r="D19" s="128">
        <v>0.125</v>
      </c>
      <c r="E19" s="49">
        <f t="shared" si="0"/>
        <v>0</v>
      </c>
    </row>
    <row r="20" spans="1:5" hidden="1" x14ac:dyDescent="0.35">
      <c r="A20" s="80"/>
      <c r="B20" s="80"/>
      <c r="C20" s="80"/>
      <c r="D20" s="128">
        <v>0.125</v>
      </c>
      <c r="E20" s="49">
        <f t="shared" si="0"/>
        <v>0</v>
      </c>
    </row>
    <row r="21" spans="1:5" hidden="1" x14ac:dyDescent="0.35">
      <c r="A21" s="80"/>
      <c r="B21" s="80"/>
      <c r="C21" s="80"/>
      <c r="D21" s="128">
        <v>0.125</v>
      </c>
      <c r="E21" s="49">
        <f t="shared" si="0"/>
        <v>0</v>
      </c>
    </row>
    <row r="22" spans="1:5" hidden="1" x14ac:dyDescent="0.35">
      <c r="A22" s="80"/>
      <c r="B22" s="80"/>
      <c r="C22" s="80"/>
      <c r="D22" s="128">
        <v>0.125</v>
      </c>
      <c r="E22" s="49">
        <f t="shared" si="0"/>
        <v>0</v>
      </c>
    </row>
    <row r="23" spans="1:5" hidden="1" x14ac:dyDescent="0.35">
      <c r="A23" s="80"/>
      <c r="B23" s="80"/>
      <c r="C23" s="80"/>
      <c r="D23" s="128">
        <v>0.125</v>
      </c>
      <c r="E23" s="49">
        <f t="shared" si="0"/>
        <v>0</v>
      </c>
    </row>
  </sheetData>
  <sheetProtection algorithmName="SHA-512" hashValue="IJiMCiezD7O1lXFunnWsmkQv9RYFDJ05J+SnQqU/tOwcJT9j5WlH/wxyHiq78HNUUKN7pdeh8qzzIZprlLWSBA==" saltValue="l2vRYHPgGZrqBY2KmMgS9A==" spinCount="100000" sheet="1" objects="1" scenarios="1"/>
  <mergeCells count="1">
    <mergeCell ref="A1:C1"/>
  </mergeCells>
  <dataValidations xWindow="411" yWindow="484" count="5">
    <dataValidation allowBlank="1" showInputMessage="1" showErrorMessage="1" promptTitle="Activity Factor" prompt="The output change value with respect to the clock cycle. An AF of 100% meant every positive edge (or every negative edge) of the clock, the output is change value" sqref="D4" xr:uid="{39F8DBFC-B4DE-459D-B3C5-D3A8760F4C28}"/>
    <dataValidation allowBlank="1" showInputMessage="1" showErrorMessage="1" promptTitle="Number of multiplier blocks" prompt="Valid range from 0 - 36" sqref="C4" xr:uid="{17E31D9E-C9FB-47DA-84F4-6AF62FE8544E}"/>
    <dataValidation type="decimal" allowBlank="1" showInputMessage="1" showErrorMessage="1" error="Only valid from 0% - 100%_x000a_" sqref="D5:D23" xr:uid="{E923FEE8-D3F6-4C0A-9DF0-A9A9DD11885A}">
      <formula1>0</formula1>
      <formula2>1</formula2>
    </dataValidation>
    <dataValidation type="whole" allowBlank="1" showInputMessage="1" showErrorMessage="1" error="Valid range from 0 - 36" prompt="Valid range from 0 - 36" sqref="C5:C23" xr:uid="{2CBC76F9-DA43-4B06-9FA8-60D9F1578C87}">
      <formula1>0</formula1>
      <formula2>36</formula2>
    </dataValidation>
    <dataValidation type="decimal" allowBlank="1" showInputMessage="1" showErrorMessage="1" error="Valid range from 0 - 400 MHz" prompt="Valid range from 0 - 400 MHz" sqref="B5:B23" xr:uid="{8EF813F1-21A5-4595-9290-C85F3BCC415C}">
      <formula1>0</formula1>
      <formula2>400</formula2>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I23"/>
  <sheetViews>
    <sheetView showGridLines="0" showRowColHeaders="0" zoomScale="175" zoomScaleNormal="175" workbookViewId="0">
      <selection activeCell="B6" sqref="B6"/>
    </sheetView>
  </sheetViews>
  <sheetFormatPr defaultColWidth="9.1796875" defaultRowHeight="14.5" x14ac:dyDescent="0.35"/>
  <cols>
    <col min="1" max="1" width="13.453125" style="1" customWidth="1"/>
    <col min="2" max="2" width="21.453125" style="1" customWidth="1"/>
    <col min="3" max="3" width="21.26953125" style="1" customWidth="1"/>
    <col min="4" max="4" width="12.453125" style="1" customWidth="1"/>
    <col min="5" max="5" width="9.1796875" style="1"/>
    <col min="6" max="6" width="14.54296875" style="1" bestFit="1" customWidth="1"/>
    <col min="7" max="7" width="14.54296875" style="1" customWidth="1"/>
    <col min="8" max="16384" width="9.1796875" style="1"/>
  </cols>
  <sheetData>
    <row r="1" spans="1:9" ht="26" x14ac:dyDescent="0.35">
      <c r="A1" s="202" t="s">
        <v>93</v>
      </c>
      <c r="B1" s="202"/>
      <c r="C1" s="202"/>
    </row>
    <row r="2" spans="1:9" ht="21" x14ac:dyDescent="0.5">
      <c r="A2" s="102" t="s">
        <v>24</v>
      </c>
      <c r="B2" s="103">
        <f>IF(calTotal!E10="No",IF(calTotal!E11="Nominal",1.2,IF(calTotal!E11="Minimum",1.15,IF(calTotal!E11="Maximum",1.25,"Invalid"))),IF(calTotal!E11="Nominal",1.1,IF(calTotal!E11="Minimum",1.05,IF(calTotal!E11="Maximum",1.15,"Invalid"))))</f>
        <v>1.2</v>
      </c>
      <c r="C2" s="104">
        <f>SUM(D5:D23)</f>
        <v>67.754768693299212</v>
      </c>
    </row>
    <row r="4" spans="1:9" s="4" customFormat="1" x14ac:dyDescent="0.35">
      <c r="A4" s="106" t="s">
        <v>94</v>
      </c>
      <c r="B4" s="106" t="s">
        <v>84</v>
      </c>
      <c r="C4" s="106" t="s">
        <v>95</v>
      </c>
      <c r="D4" s="106" t="s">
        <v>88</v>
      </c>
      <c r="G4"/>
      <c r="H4"/>
      <c r="I4"/>
    </row>
    <row r="5" spans="1:9" x14ac:dyDescent="0.35">
      <c r="A5" s="80"/>
      <c r="B5" s="80">
        <v>300</v>
      </c>
      <c r="C5" s="80">
        <f>13920*0.75</f>
        <v>10440</v>
      </c>
      <c r="D5" s="49">
        <f t="shared" ref="D5:D23" si="0">IF(C5&gt;0,IF(OR(Package = "F324",Package = "F400"),((0.0320863*($B$2^2)*B5)+((0.000569136*($B$2^2)*B5)*((0.0277*C5)+1.6693))),((0.00680841*($B$2^2)*B5)+((0.000545256*($B$2^2)*B5)*((0.0258*C5)+5.8056)))),0)</f>
        <v>67.754768693299212</v>
      </c>
      <c r="G5"/>
      <c r="H5"/>
      <c r="I5"/>
    </row>
    <row r="6" spans="1:9" x14ac:dyDescent="0.35">
      <c r="A6" s="80"/>
      <c r="B6" s="76"/>
      <c r="C6" s="80"/>
      <c r="D6" s="49">
        <f t="shared" si="0"/>
        <v>0</v>
      </c>
      <c r="G6"/>
      <c r="H6"/>
      <c r="I6"/>
    </row>
    <row r="7" spans="1:9" x14ac:dyDescent="0.35">
      <c r="A7" s="80"/>
      <c r="B7" s="76"/>
      <c r="C7" s="80"/>
      <c r="D7" s="49">
        <f t="shared" si="0"/>
        <v>0</v>
      </c>
      <c r="G7"/>
      <c r="H7" s="20"/>
      <c r="I7"/>
    </row>
    <row r="8" spans="1:9" x14ac:dyDescent="0.35">
      <c r="A8" s="80"/>
      <c r="B8" s="76"/>
      <c r="C8" s="80"/>
      <c r="D8" s="49">
        <f t="shared" si="0"/>
        <v>0</v>
      </c>
      <c r="G8"/>
      <c r="H8" s="21"/>
      <c r="I8"/>
    </row>
    <row r="9" spans="1:9" x14ac:dyDescent="0.35">
      <c r="A9" s="80"/>
      <c r="B9" s="76"/>
      <c r="C9" s="80"/>
      <c r="D9" s="49">
        <f t="shared" si="0"/>
        <v>0</v>
      </c>
      <c r="G9"/>
      <c r="H9" s="21"/>
      <c r="I9"/>
    </row>
    <row r="10" spans="1:9" x14ac:dyDescent="0.35">
      <c r="A10" s="80"/>
      <c r="B10" s="80"/>
      <c r="C10" s="80"/>
      <c r="D10" s="49">
        <f t="shared" si="0"/>
        <v>0</v>
      </c>
      <c r="G10"/>
      <c r="H10" s="21"/>
      <c r="I10"/>
    </row>
    <row r="11" spans="1:9" hidden="1" x14ac:dyDescent="0.35">
      <c r="A11" s="80"/>
      <c r="B11" s="80"/>
      <c r="C11" s="80"/>
      <c r="D11" s="49">
        <f t="shared" si="0"/>
        <v>0</v>
      </c>
      <c r="G11" s="21"/>
      <c r="H11" s="21"/>
      <c r="I11"/>
    </row>
    <row r="12" spans="1:9" hidden="1" x14ac:dyDescent="0.35">
      <c r="A12" s="80"/>
      <c r="B12" s="80"/>
      <c r="C12" s="80"/>
      <c r="D12" s="49">
        <f t="shared" si="0"/>
        <v>0</v>
      </c>
      <c r="G12" s="21"/>
      <c r="H12" s="21"/>
      <c r="I12"/>
    </row>
    <row r="13" spans="1:9" hidden="1" x14ac:dyDescent="0.35">
      <c r="A13" s="80"/>
      <c r="B13" s="80"/>
      <c r="C13" s="80"/>
      <c r="D13" s="49">
        <f t="shared" si="0"/>
        <v>0</v>
      </c>
      <c r="G13" s="21"/>
      <c r="H13" s="21"/>
      <c r="I13"/>
    </row>
    <row r="14" spans="1:9" hidden="1" x14ac:dyDescent="0.35">
      <c r="A14" s="80"/>
      <c r="B14" s="80"/>
      <c r="C14" s="80"/>
      <c r="D14" s="49">
        <f t="shared" si="0"/>
        <v>0</v>
      </c>
      <c r="G14" s="21"/>
      <c r="H14" s="21"/>
      <c r="I14"/>
    </row>
    <row r="15" spans="1:9" hidden="1" x14ac:dyDescent="0.35">
      <c r="A15" s="80"/>
      <c r="B15" s="80"/>
      <c r="C15" s="80"/>
      <c r="D15" s="49">
        <f t="shared" si="0"/>
        <v>0</v>
      </c>
    </row>
    <row r="16" spans="1:9" hidden="1" x14ac:dyDescent="0.35">
      <c r="A16" s="80"/>
      <c r="B16" s="80"/>
      <c r="C16" s="80"/>
      <c r="D16" s="49">
        <f t="shared" si="0"/>
        <v>0</v>
      </c>
    </row>
    <row r="17" spans="1:4" hidden="1" x14ac:dyDescent="0.35">
      <c r="A17" s="80"/>
      <c r="B17" s="80"/>
      <c r="C17" s="80"/>
      <c r="D17" s="49">
        <f t="shared" si="0"/>
        <v>0</v>
      </c>
    </row>
    <row r="18" spans="1:4" hidden="1" x14ac:dyDescent="0.35">
      <c r="A18" s="80"/>
      <c r="B18" s="80"/>
      <c r="C18" s="80"/>
      <c r="D18" s="49">
        <f t="shared" si="0"/>
        <v>0</v>
      </c>
    </row>
    <row r="19" spans="1:4" hidden="1" x14ac:dyDescent="0.35">
      <c r="A19" s="80"/>
      <c r="B19" s="80"/>
      <c r="C19" s="80"/>
      <c r="D19" s="49">
        <f t="shared" si="0"/>
        <v>0</v>
      </c>
    </row>
    <row r="20" spans="1:4" hidden="1" x14ac:dyDescent="0.35">
      <c r="A20" s="80"/>
      <c r="B20" s="80"/>
      <c r="C20" s="80"/>
      <c r="D20" s="49">
        <f t="shared" si="0"/>
        <v>0</v>
      </c>
    </row>
    <row r="21" spans="1:4" hidden="1" x14ac:dyDescent="0.35">
      <c r="A21" s="80"/>
      <c r="B21" s="80"/>
      <c r="C21" s="80"/>
      <c r="D21" s="49">
        <f t="shared" si="0"/>
        <v>0</v>
      </c>
    </row>
    <row r="22" spans="1:4" hidden="1" x14ac:dyDescent="0.35">
      <c r="A22" s="80"/>
      <c r="B22" s="80"/>
      <c r="C22" s="80"/>
      <c r="D22" s="49">
        <f t="shared" si="0"/>
        <v>0</v>
      </c>
    </row>
    <row r="23" spans="1:4" hidden="1" x14ac:dyDescent="0.35">
      <c r="A23" s="80"/>
      <c r="B23" s="80"/>
      <c r="C23" s="80"/>
      <c r="D23" s="49">
        <f t="shared" si="0"/>
        <v>0</v>
      </c>
    </row>
  </sheetData>
  <sheetProtection algorithmName="SHA-512" hashValue="TDwwNdwlbT5vM54wagtPNemQfA9QUYtzBgMBvk8ooXTt2q5QLtTX5apyESdbgsI8IIxzUb+dEPlDX5efEGKJ8w==" saltValue="m6fTzQhT1oEtlUVNtEurFA==" spinCount="100000" sheet="1" objects="1" scenarios="1"/>
  <mergeCells count="1">
    <mergeCell ref="A1:C1"/>
  </mergeCells>
  <dataValidations count="3">
    <dataValidation allowBlank="1" showInputMessage="1" showErrorMessage="1" promptTitle="Total Fanout" prompt="Number of logic(FF) that clocked by a specific clock source" sqref="C4" xr:uid="{1007D617-AA67-40BC-A5E2-456003075DA4}"/>
    <dataValidation type="whole" allowBlank="1" showInputMessage="1" showErrorMessage="1" error="Valid range from 0 - 13920" prompt="Valid range from 0 - 13920" sqref="C5:C23" xr:uid="{3AAFA71E-154B-409E-AB6E-712A2EDEE5A7}">
      <formula1>0</formula1>
      <formula2>13920</formula2>
    </dataValidation>
    <dataValidation type="decimal" allowBlank="1" showInputMessage="1" showErrorMessage="1" error="Valid range from 0 - 400 MHz" prompt="Valid range from 0 - 400 MHz" sqref="B5:B23" xr:uid="{3DA2A578-05D0-4368-B255-C4EFC937A955}">
      <formula1>0</formula1>
      <formula2>400</formula2>
    </dataValidation>
  </dataValidations>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H43"/>
  <sheetViews>
    <sheetView showGridLines="0" showRowColHeaders="0" zoomScaleNormal="100" workbookViewId="0">
      <selection sqref="A1:D1"/>
    </sheetView>
  </sheetViews>
  <sheetFormatPr defaultColWidth="9.1796875" defaultRowHeight="14.5" x14ac:dyDescent="0.35"/>
  <cols>
    <col min="1" max="1" width="13.453125" style="1" customWidth="1"/>
    <col min="2" max="2" width="21.26953125" style="1" customWidth="1"/>
    <col min="3" max="3" width="26.81640625" style="1" hidden="1" customWidth="1"/>
    <col min="4" max="4" width="21.26953125" style="1" customWidth="1"/>
    <col min="5" max="5" width="12.54296875" style="1" customWidth="1"/>
    <col min="6" max="8" width="17.1796875" style="1" customWidth="1"/>
    <col min="9" max="9" width="13.54296875" style="1" customWidth="1"/>
    <col min="10" max="10" width="21.453125" style="1" customWidth="1"/>
    <col min="11" max="11" width="8.81640625" style="1" customWidth="1"/>
    <col min="12" max="12" width="13.453125" style="1" customWidth="1"/>
    <col min="13" max="13" width="8.7265625" style="1" customWidth="1"/>
    <col min="14" max="14" width="12.453125" style="1" customWidth="1"/>
    <col min="15" max="15" width="20.7265625" style="1" bestFit="1" customWidth="1"/>
    <col min="16" max="16" width="17.26953125" style="1" hidden="1" customWidth="1"/>
    <col min="17" max="17" width="18.81640625" style="1" hidden="1" customWidth="1"/>
    <col min="18" max="20" width="9" style="1" hidden="1" customWidth="1"/>
    <col min="21" max="21" width="8.54296875" style="1" hidden="1" customWidth="1"/>
    <col min="22" max="22" width="13.26953125" style="1" hidden="1" customWidth="1"/>
    <col min="23" max="23" width="9.1796875" style="1" hidden="1" customWidth="1"/>
    <col min="24" max="28" width="5.7265625" style="1" hidden="1" customWidth="1"/>
    <col min="29" max="32" width="12.7265625" style="1" hidden="1" customWidth="1"/>
    <col min="33" max="33" width="24.1796875" style="1" bestFit="1" customWidth="1"/>
    <col min="34" max="34" width="38.26953125" style="1" bestFit="1" customWidth="1"/>
    <col min="35" max="16384" width="9.1796875" style="1"/>
  </cols>
  <sheetData>
    <row r="1" spans="1:34" ht="26" x14ac:dyDescent="0.35">
      <c r="A1" s="206" t="s">
        <v>96</v>
      </c>
      <c r="B1" s="207"/>
      <c r="C1" s="207"/>
      <c r="D1" s="208"/>
      <c r="E1" s="43"/>
      <c r="F1" s="17"/>
      <c r="M1" s="59"/>
      <c r="N1" s="59"/>
      <c r="O1" s="62"/>
      <c r="P1" s="203"/>
      <c r="Q1" s="203"/>
      <c r="R1" s="203"/>
      <c r="S1" s="203"/>
      <c r="AB1" s="62"/>
      <c r="AC1" s="62"/>
      <c r="AD1" s="203"/>
      <c r="AE1" s="203"/>
      <c r="AF1" s="26"/>
      <c r="AG1" s="26"/>
      <c r="AH1" s="26"/>
    </row>
    <row r="2" spans="1:34" ht="26" x14ac:dyDescent="0.35">
      <c r="A2" s="102" t="s">
        <v>24</v>
      </c>
      <c r="B2" s="103">
        <f>IF(calTotal!E10="No",IF(calTotal!E11="Nominal",1.2,IF(calTotal!E11="Minimum",1.15,IF(calTotal!E11="Maximum",1.25,"Invalid"))),IF(calTotal!E11="Nominal",1.1,IF(calTotal!E11="Minimum",1.05,IF(calTotal!E11="Maximum",1.15,"Invalid"))))</f>
        <v>1.2</v>
      </c>
      <c r="C2" s="108"/>
      <c r="D2" s="109">
        <f>SUM(R9:R18)+SUM(T9:T18)+SUM(AD9:AD18)+SUM(AF9:AF18)</f>
        <v>0</v>
      </c>
      <c r="E2" s="44"/>
      <c r="O2"/>
      <c r="P2"/>
      <c r="Q2" s="17"/>
      <c r="R2" s="48"/>
      <c r="S2"/>
      <c r="AB2" s="25"/>
      <c r="AC2" s="25"/>
      <c r="AD2"/>
      <c r="AE2"/>
      <c r="AF2" s="25"/>
      <c r="AG2" s="25"/>
      <c r="AH2" s="25"/>
    </row>
    <row r="3" spans="1:34" ht="21" x14ac:dyDescent="0.35">
      <c r="A3" s="102" t="s">
        <v>97</v>
      </c>
      <c r="B3" s="103">
        <f>IF(calTotal!E11="Nominal",1.8,IF(calTotal!E11="Minimum",1.71,IF(calTotal!E11="Maximum",1.89,"Invalid")))</f>
        <v>1.8</v>
      </c>
      <c r="C3" s="108"/>
      <c r="D3" s="109">
        <f>SUM(X9:X18)</f>
        <v>0</v>
      </c>
      <c r="E3" s="44"/>
      <c r="O3"/>
      <c r="P3"/>
      <c r="Q3"/>
      <c r="R3"/>
      <c r="S3"/>
      <c r="AB3" s="25"/>
      <c r="AC3" s="25"/>
      <c r="AD3"/>
      <c r="AE3"/>
    </row>
    <row r="4" spans="1:34" ht="21" x14ac:dyDescent="0.35">
      <c r="A4" s="102" t="s">
        <v>97</v>
      </c>
      <c r="B4" s="103">
        <f>IF(calTotal!E11="Nominal",2.5,IF(calTotal!E11="Minimum",2.375,IF(calTotal!E11="Maximum",2.625,"Invalid")))</f>
        <v>2.5</v>
      </c>
      <c r="C4" s="108"/>
      <c r="D4" s="109">
        <f>SUM(Y9:Y18)</f>
        <v>0</v>
      </c>
      <c r="E4" s="44"/>
      <c r="O4"/>
      <c r="P4"/>
      <c r="Q4"/>
      <c r="R4"/>
      <c r="S4"/>
    </row>
    <row r="5" spans="1:34" ht="21" x14ac:dyDescent="0.35">
      <c r="A5" s="102" t="s">
        <v>97</v>
      </c>
      <c r="B5" s="103">
        <f>IF(calTotal!E11="Nominal",3.3,IF(calTotal!E11="Minimum",3.135,IF(calTotal!E11="Maximum",3.465,"Invalid")))</f>
        <v>3.3</v>
      </c>
      <c r="C5" s="108"/>
      <c r="D5" s="109">
        <f>SUM(Q9:Q18)+SUM(Z9:Z18)+SUM(AC9:AC18)+SUM(AE9:AE18)</f>
        <v>0</v>
      </c>
      <c r="E5" s="44"/>
      <c r="O5"/>
      <c r="P5"/>
      <c r="Q5"/>
      <c r="R5"/>
      <c r="S5"/>
    </row>
    <row r="6" spans="1:34" ht="21" hidden="1" x14ac:dyDescent="0.5">
      <c r="A6" s="204" t="s">
        <v>98</v>
      </c>
      <c r="B6" s="205"/>
      <c r="C6" s="108"/>
      <c r="D6" s="104">
        <f>SUM(D3:D5)</f>
        <v>0</v>
      </c>
      <c r="E6" s="45"/>
      <c r="Q6" s="59" t="s">
        <v>99</v>
      </c>
      <c r="R6" s="59" t="s">
        <v>99</v>
      </c>
      <c r="S6" s="59" t="s">
        <v>99</v>
      </c>
      <c r="T6" s="59" t="s">
        <v>99</v>
      </c>
      <c r="U6" s="59" t="s">
        <v>100</v>
      </c>
      <c r="V6" s="59" t="s">
        <v>101</v>
      </c>
      <c r="AC6" s="1" t="s">
        <v>102</v>
      </c>
      <c r="AD6" s="1" t="s">
        <v>102</v>
      </c>
      <c r="AE6" s="1" t="s">
        <v>102</v>
      </c>
      <c r="AF6" s="1" t="s">
        <v>102</v>
      </c>
    </row>
    <row r="7" spans="1:34" x14ac:dyDescent="0.35">
      <c r="Q7" s="59" t="s">
        <v>97</v>
      </c>
      <c r="R7" s="59" t="s">
        <v>24</v>
      </c>
      <c r="S7" s="59" t="s">
        <v>103</v>
      </c>
      <c r="T7" s="59" t="s">
        <v>24</v>
      </c>
      <c r="U7" s="59" t="s">
        <v>103</v>
      </c>
      <c r="V7" s="59" t="s">
        <v>104</v>
      </c>
      <c r="X7" s="1" t="s">
        <v>105</v>
      </c>
      <c r="AC7" s="1" t="s">
        <v>97</v>
      </c>
      <c r="AD7" s="1" t="s">
        <v>24</v>
      </c>
      <c r="AE7" s="1" t="s">
        <v>97</v>
      </c>
      <c r="AF7" s="1" t="s">
        <v>24</v>
      </c>
    </row>
    <row r="8" spans="1:34" s="5" customFormat="1" x14ac:dyDescent="0.35">
      <c r="A8" s="105" t="s">
        <v>83</v>
      </c>
      <c r="B8" s="105" t="s">
        <v>106</v>
      </c>
      <c r="C8" s="105" t="s">
        <v>107</v>
      </c>
      <c r="D8" s="105" t="s">
        <v>108</v>
      </c>
      <c r="E8" s="105" t="s">
        <v>109</v>
      </c>
      <c r="F8" s="105" t="s">
        <v>110</v>
      </c>
      <c r="G8" s="105" t="s">
        <v>111</v>
      </c>
      <c r="H8" s="110" t="s">
        <v>112</v>
      </c>
      <c r="I8" s="111" t="s">
        <v>113</v>
      </c>
      <c r="J8" s="112" t="s">
        <v>84</v>
      </c>
      <c r="K8" s="113" t="s">
        <v>114</v>
      </c>
      <c r="L8" s="113" t="s">
        <v>219</v>
      </c>
      <c r="M8" s="110" t="s">
        <v>87</v>
      </c>
      <c r="N8" s="105" t="s">
        <v>88</v>
      </c>
      <c r="P8" s="5" t="s">
        <v>115</v>
      </c>
      <c r="Q8" s="5" t="s">
        <v>116</v>
      </c>
      <c r="R8" s="5" t="s">
        <v>116</v>
      </c>
      <c r="S8" s="5" t="s">
        <v>116</v>
      </c>
      <c r="T8" s="5" t="s">
        <v>117</v>
      </c>
      <c r="U8" s="59" t="s">
        <v>118</v>
      </c>
      <c r="V8" s="59" t="s">
        <v>119</v>
      </c>
      <c r="X8" s="5">
        <v>1.8</v>
      </c>
      <c r="Y8" s="5">
        <v>2.5</v>
      </c>
      <c r="Z8" s="5">
        <v>3.3</v>
      </c>
      <c r="AC8" s="5" t="s">
        <v>116</v>
      </c>
      <c r="AD8" s="5" t="s">
        <v>116</v>
      </c>
      <c r="AE8" s="5" t="s">
        <v>117</v>
      </c>
      <c r="AF8" s="5" t="s">
        <v>117</v>
      </c>
    </row>
    <row r="9" spans="1:34" x14ac:dyDescent="0.35">
      <c r="A9" s="80"/>
      <c r="B9" s="80" t="s">
        <v>122</v>
      </c>
      <c r="C9" s="80"/>
      <c r="D9" s="84">
        <v>0</v>
      </c>
      <c r="E9" s="84">
        <v>2</v>
      </c>
      <c r="F9" s="89">
        <v>5</v>
      </c>
      <c r="G9" s="76"/>
      <c r="H9" s="86"/>
      <c r="I9" s="85" t="s">
        <v>121</v>
      </c>
      <c r="J9" s="76"/>
      <c r="K9" s="86">
        <v>1.2</v>
      </c>
      <c r="L9" s="126">
        <v>1</v>
      </c>
      <c r="M9" s="127">
        <v>0.125</v>
      </c>
      <c r="N9" s="49">
        <f>IF(B9="3.3V LVDS", V9,P9)</f>
        <v>0</v>
      </c>
      <c r="P9" s="6">
        <f>IF(I9="SDR",IF(B9="1.8V LVCMOS",(((1/2)*K9*($B$3^2)*J9*G9)*((M9))+((1/2)*K9*($B$3^2)*J9*H9)*((M9)*(L9)))*0.00105,IF(B9="2.5V LVCMOS",(((1/2)*K9*($B$4^2)*J9*G9)*((M9))+((1/2)*K9*($B$4^2)*J9*H9)*((M9)*(L9)))*0.00105,IF(B9="3.3V LVCMOS",(((1/2)*K9*($B$5^2)*J9*G9)*((M9))+((1/2)*K9*($B$5^2)*J9*H9)*((M9)*(L9)))*0.00105,IF(B9="3.3V LVTTL",(((1/2)*K9*($B$5^2)*J9*G9)*((M9))+((1/2)*K9*($B$5^2)*J9*H9)*((M9)*(L9)))*0.00105,IF(B9="3.3V LVDS as GPIO",(((1/2)*K9*($B$5^2)*J9*G9)*((M9))+((1/2)*K9*($B$5^2)*J9*H9)*((M9)*(L9)))*0.00105,0))))),IF(B9="1.8V LVCMOS",((K9*($B$3^2)*J9*G9)*((M9))+(K9*($B$3^2)*J9*H9)*((M9)*(L9)))*0.00105,IF(B9="2.5V LVCMOS",((K9*($B$4^2)*J9*G9)*((M9))+(K9*($B$4^2)*J9*H9)*((M9)*(L9)))*0.00105,IF(B9="3.3V LVCMOS",((K9*($B$5^2)*J9*G9)*((M9))+(K9*($B$5^2)*J9*H9)*((M9)*(L9)))*0.00105,IF(B9="3.3V LVTTL",((K9*($B$5^2)*J9*G9)*((M9))+(K9*($B$5^2)*J9*H9)*((M9)*(L9)))*0.00105,IF(B9="3.3V LVDS as GPIO",((K9*($B$5^2)*J9*G9)*((M9))+(K9*($B$5^2)*J9*H9)*((M9)*(L9)))*0.00105,0))))))</f>
        <v>0</v>
      </c>
      <c r="Q9" s="18">
        <f>IF(B9="3.3V LVDS",IF(D9=0,IF(E9=0,(0.012516/$B$5)*($B$5^2)*J9*(M9)*G9*(L9),IF(E9=1,(0.014873/$B$5)*($B$5^2)*J9*(M9)*G9*(L9),IF(E9=2,(0.016707/$B$5)*($B$5^2)*J9*(M9)*G9*(L9),IF(E9=3,(0.019436/$B$5)*($B$5^2)*J9*(M9)*G9*(L9),0)))),IF(E9=0,(0.012498/$B$5)*($B$5^2)*J9*(M9)*G9*(L9),IF(E9=1,(0.01487/$B$5)*($B$5^2)*J9*(M9)*G9*(L9),IF(E9=2,(0.016765/$B$5)*($B$5^2)*J9*(M9)*G9*(L9),IF(E9=3,(0.019452/$B$5)*($B$5^2)*J9*(M9)*G9*(L9),0))))),0)</f>
        <v>0</v>
      </c>
      <c r="R9" s="18">
        <f>IF(B9="3.3V LVDS",IF(D9=0,IF(E9=0,(0.00618725*($B$2^2))*J9*(M9)*G9*(L9),IF(E9=1,(0.00641858*($B$2^2))*J9*(M9)*G9*(L9),IF(E9=2,(0.00651042*($B$2^2))*J9*(M9)*G9*(L9),IF(E9=3,(0.00626092*($B$2^2))*J9*(M9)*G9*(L9),0)))),IF(E9=0,(0.00630658*($B$2^2))*J9*(M9)*G9*(L9),IF(E9=1,(0.00694492*($B$2^2))*J9*(M9)*G9*(L9),IF(E9=2,(0.00707492*($B$2^2))*J9*(M9)*G9*(L9),IF(E9=3,(0.00653092*($B$2^2))*J9*(M9)*G9*(L9),0))))),0)</f>
        <v>0</v>
      </c>
      <c r="S9" s="18">
        <f t="shared" ref="S9:S18" si="0">Q9+R9</f>
        <v>0</v>
      </c>
      <c r="T9" s="18">
        <f>IF(B9="3.3V LVDS",IF(F9&gt;0,(0.0108333*($B$2^2)*J9*(M9)*F9)+(1.4583*$B$2^2),0),0)</f>
        <v>0</v>
      </c>
      <c r="U9" s="18">
        <f t="shared" ref="U9:U12" si="1">S9+T9</f>
        <v>0</v>
      </c>
      <c r="V9" s="18">
        <f t="shared" ref="V9:V12" si="2">U9+SUM(AC9:AF9)</f>
        <v>0</v>
      </c>
      <c r="X9" s="23">
        <f>IF(I9="SDR",IF(B9="1.8V LVCMOS",(((1/2)*K9*($B$3^2)*J9*G9)*((M9))+((1/2)*K9*($B$3^2)*J9*H9)*((M9)*(L9)))*0.00105,0),IF(B9="1.8V LVCMOS",((K9*($B$3^2)*J9*G9)*((M9))+(K9*($B$3^2)*J9*H9)*((M9)*(L9)))*0.00105,0))</f>
        <v>0</v>
      </c>
      <c r="Y9" s="23">
        <f>IF(I9="SDR",IF(B9="2.5V LVCMOS",(((1/2)*K9*($B$4^2)*J9*G9)*((M9))+((1/2)*K9*($B$4^2)*J9*H9)*((M9)*(L9)))*0.00105,0),IF(B9="2.5V LVCMOS",((K9*($B$4^2)*J9*G9)*((M9))+(K9*($B$4^2)*J9*H9)*((M9)*(L9)))*0.00105,0))</f>
        <v>0</v>
      </c>
      <c r="Z9" s="18">
        <f>IF(I9="SDR",IF(B9="3.3V LVCMOS",(((1/2)*K9*($B$5^2)*J9*G9)*((M9))+((1/2)*K9*($B$5^2)*J9*H9)*((M9)*(L9)))*0.00105,IF(B9="3.3V LVTTL",(((1/2)*K9*($B$5^2)*J9*G9)*((M9))+((1/2)*K9*($B$5^2)*J9*H9)*((M9)*(L9)))*0.00105,IF(B9="3.3V LVDS as GPIO",(((1/2)*K9*($B$5^2)*J9*G9)*((M9))+((1/2)*K9*($B$5^2)*J9*H9)*((M9)*(L9)))*0.00105,0))),IF(B9="3.3V LVCMOS",((K9*($B$5^2)*J9*G9)*((M9))+(K9*($B$5^2)*J9*H9)*((M9)*(L9)))*0.00105,IF(B9="3.3V LVTTL",((K9*($B$5^2)*J9*G9)*((M9))+(K9*($B$5^2)*J9*H9)*((M9)*(L9)))*0.00105,IF(B9="3.3V LVDS as GPIO",((K9*($B$5^2)*J9*G9)*((M9))+(K9*($B$5^2)*J9*H9)*((M9)*(L9)))*0.00105,0))))</f>
        <v>0</v>
      </c>
      <c r="AC9" s="24">
        <f t="shared" ref="AC9:AC17" si="3">IF(B9="3.3V LVDS", IF(D9=0,(4.543/$B$5)*$B$5^2*G9,(2.937/$B$5)*$B$5^2*G9),0)</f>
        <v>0</v>
      </c>
      <c r="AD9" s="18">
        <f t="shared" ref="AD9:AD17" si="4">IF(B9="3.3V LVDS", IF(D9=0,0.165*$B$2^2*G9,(0.1317*$B$2^2*G9)),0)</f>
        <v>0</v>
      </c>
      <c r="AE9" s="18">
        <f t="shared" ref="AE9:AE17" si="5">IF(B9="3.3V LVDS",(0.707/$B$5)*$B$5^2*F9,0)</f>
        <v>0</v>
      </c>
      <c r="AF9" s="18">
        <f t="shared" ref="AF9:AF18" si="6">IF(B9="3.3V LVDS",0.60583*$B$2^2*F9,0)</f>
        <v>0</v>
      </c>
    </row>
    <row r="10" spans="1:34" x14ac:dyDescent="0.35">
      <c r="A10" s="80"/>
      <c r="B10" s="80" t="s">
        <v>123</v>
      </c>
      <c r="C10" s="80"/>
      <c r="D10" s="84"/>
      <c r="E10" s="84"/>
      <c r="F10" s="89"/>
      <c r="G10" s="76"/>
      <c r="H10" s="86"/>
      <c r="I10" s="85" t="s">
        <v>57</v>
      </c>
      <c r="J10" s="76"/>
      <c r="K10" s="86">
        <v>1.2</v>
      </c>
      <c r="L10" s="126">
        <v>1</v>
      </c>
      <c r="M10" s="127">
        <v>0.125</v>
      </c>
      <c r="N10" s="49">
        <f t="shared" ref="N10:N18" si="7">IF(B10="3.3V LVDS", V10,P10)</f>
        <v>0</v>
      </c>
      <c r="P10" s="6">
        <f t="shared" ref="P10:P18" si="8">IF(I10="SDR",IF(B10="1.8V LVCMOS",(((1/2)*K10*($B$3^2)*J10*G10)*((M10))+((1/2)*K10*($B$3^2)*J10*H10)*((M10)*(L10)))*0.00105,IF(B10="2.5V LVCMOS",(((1/2)*K10*($B$4^2)*J10*G10)*((M10))+((1/2)*K10*($B$4^2)*J10*H10)*((M10)*(L10)))*0.00105,IF(B10="3.3V LVCMOS",(((1/2)*K10*($B$5^2)*J10*G10)*((M10))+((1/2)*K10*($B$5^2)*J10*H10)*((M10)*(L10)))*0.00105,IF(B10="3.3V LVTTL",(((1/2)*K10*($B$5^2)*J10*G10)*((M10))+((1/2)*K10*($B$5^2)*J10*H10)*((M10)*(L10)))*0.00105,IF(B10="3.3V LVDS as GPIO",(((1/2)*K10*($B$5^2)*J10*G10)*((M10))+((1/2)*K10*($B$5^2)*J10*H10)*((M10)*(L10)))*0.00105,0))))),IF(B10="1.8V LVCMOS",((K10*($B$3^2)*J10*G10)*((M10))+(K10*($B$3^2)*J10*H10)*((M10)*(L10)))*0.00105,IF(B10="2.5V LVCMOS",((K10*($B$4^2)*J10*G10)*((M10))+(K10*($B$4^2)*J10*H10)*((M10)*(L10)))*0.00105,IF(B10="3.3V LVCMOS",((K10*($B$5^2)*J10*G10)*((M10))+(K10*($B$5^2)*J10*H10)*((M10)*(L10)))*0.00105,IF(B10="3.3V LVTTL",((K10*($B$5^2)*J10*G10)*((M10))+(K10*($B$5^2)*J10*H10)*((M10)*(L10)))*0.00105,IF(B10="3.3V LVDS as GPIO",((K10*($B$5^2)*J10*G10)*((M10))+(K10*($B$5^2)*J10*H10)*((M10)*(L10)))*0.00105,0))))))</f>
        <v>0</v>
      </c>
      <c r="Q10" s="18">
        <f t="shared" ref="Q10:Q18" si="9">IF(B10="3.3V LVDS",IF(D10=0,IF(E10=0,(0.012516/$B$5)*($B$5^2)*J10*(M10)*G10*(L10),IF(E10=1,(0.014873/$B$5)*($B$5^2)*J10*(M10)*G10*(L10),IF(E10=2,(0.016707/$B$5)*($B$5^2)*J10*(M10)*G10*(L10),IF(E10=3,(0.019436/$B$5)*($B$5^2)*J10*(M10)*G10*(L10),0)))),IF(E10=0,(0.012498/$B$5)*($B$5^2)*J10*(M10)*G10*(L10),IF(E10=1,(0.01487/$B$5)*($B$5^2)*J10*(M10)*G10*(L10),IF(E10=2,(0.016765/$B$5)*($B$5^2)*J10*(M10)*G10*(L10),IF(E10=3,(0.019452/$B$5)*($B$5^2)*J10*(M10)*G10*(L10),0))))),0)</f>
        <v>0</v>
      </c>
      <c r="R10" s="18">
        <f t="shared" ref="R10:R18" si="10">IF(B10="3.3V LVDS",IF(D10=0,IF(E10=0,(0.00618725*($B$2^2))*J10*(M10)*G10*(L10),IF(E10=1,(0.00641858*($B$2^2))*J10*(M10)*G10*(L10),IF(E10=2,(0.00651042*($B$2^2))*J10*(M10)*G10*(L10),IF(E10=3,(0.00626092*($B$2^2))*J10*(M10)*G10*(L10),0)))),IF(E10=0,(0.00630658*($B$2^2))*J10*(M10)*G10*(L10),IF(E10=1,(0.00694492*($B$2^2))*J10*(M10)*G10*(L10),IF(E10=2,(0.00707492*($B$2^2))*J10*(M10)*G10*(L10),IF(E10=3,(0.00653092*($B$2^2))*J10*(M10)*G10*(L10),0))))),0)</f>
        <v>0</v>
      </c>
      <c r="S10" s="18">
        <f t="shared" si="0"/>
        <v>0</v>
      </c>
      <c r="T10" s="18">
        <f t="shared" ref="T10:T18" si="11">IF(B10="3.3V LVDS",IF(F10&gt;0,(0.0108333*($B$2^2)*J10*(M10)*F10)+(1.4583*$B$2^2),0),0)</f>
        <v>0</v>
      </c>
      <c r="U10" s="18">
        <f t="shared" si="1"/>
        <v>0</v>
      </c>
      <c r="V10" s="18">
        <f t="shared" si="2"/>
        <v>0</v>
      </c>
      <c r="X10" s="23">
        <f t="shared" ref="X10:X14" si="12">IF(I10="SDR",IF(B10="1.8V LVCMOS",(((1/2)*K10*($B$3^2)*J10*G10)*((M10))+((1/2)*K10*($B$3^2)*J10*H10)*((M10)*(L10)))*0.00105,0),IF(B10="1.8V LVCMOS",((K10*($B$3^2)*J10*G10)*((M10))+(K10*($B$3^2)*J10*H10)*((M10)*(L10)))*0.00105,0))</f>
        <v>0</v>
      </c>
      <c r="Y10" s="23">
        <f t="shared" ref="Y10:Y14" si="13">IF(I10="SDR",IF(B10="2.5V LVCMOS",(((1/2)*K10*($B$4^2)*J10*G10)*((M10))+((1/2)*K10*($B$4^2)*J10*H10)*((M10)*(L10)))*0.00105,0),IF(B10="2.5V LVCMOS",((K10*($B$4^2)*J10*G10)*((M10))+(K10*($B$4^2)*J10*H10)*((M10)*(L10)))*0.00105,0))</f>
        <v>0</v>
      </c>
      <c r="Z10" s="18">
        <f t="shared" ref="Z10:Z14" si="14">IF(I10="SDR",IF(B10="3.3V LVCMOS",(((1/2)*K10*($B$5^2)*J10*G10)*((M10))+((1/2)*K10*($B$5^2)*J10*H10)*((M10)*(L10)))*0.00105,IF(B10="3.3V LVTTL",(((1/2)*K10*($B$5^2)*J10*G10)*((M10))+((1/2)*K10*($B$5^2)*J10*H10)*((M10)*(L10)))*0.00105,IF(B10="3.3V LVDS as GPIO",(((1/2)*K10*($B$5^2)*J10*G10)*((M10))+((1/2)*K10*($B$5^2)*J10*H10)*((M10)*(L10)))*0.00105,0))),IF(B10="3.3V LVCMOS",((K10*($B$5^2)*J10*G10)*((M10))+(K10*($B$5^2)*J10*H10)*((M10)*(L10)))*0.00105,IF(B10="3.3V LVTTL",((K10*($B$5^2)*J10*G10)*((M10))+(K10*($B$5^2)*J10*H10)*((M10)*(L10)))*0.00105,IF(B10="3.3V LVDS as GPIO",((K10*($B$5^2)*J10*G10)*((M10))+(K10*($B$5^2)*J10*H10)*((M10)*(L10)))*0.00105,0))))</f>
        <v>0</v>
      </c>
      <c r="AC10" s="24">
        <f t="shared" si="3"/>
        <v>0</v>
      </c>
      <c r="AD10" s="18">
        <f t="shared" si="4"/>
        <v>0</v>
      </c>
      <c r="AE10" s="18">
        <f t="shared" si="5"/>
        <v>0</v>
      </c>
      <c r="AF10" s="18">
        <f t="shared" si="6"/>
        <v>0</v>
      </c>
    </row>
    <row r="11" spans="1:34" x14ac:dyDescent="0.35">
      <c r="A11" s="80"/>
      <c r="B11" s="80" t="s">
        <v>124</v>
      </c>
      <c r="C11" s="80"/>
      <c r="D11" s="84"/>
      <c r="E11" s="84"/>
      <c r="F11" s="89"/>
      <c r="G11" s="76"/>
      <c r="H11" s="86"/>
      <c r="I11" s="85" t="s">
        <v>57</v>
      </c>
      <c r="J11" s="76"/>
      <c r="K11" s="86">
        <v>1.2</v>
      </c>
      <c r="L11" s="126">
        <v>1</v>
      </c>
      <c r="M11" s="127">
        <v>0.125</v>
      </c>
      <c r="N11" s="49">
        <f t="shared" si="7"/>
        <v>0</v>
      </c>
      <c r="P11" s="6">
        <f t="shared" si="8"/>
        <v>0</v>
      </c>
      <c r="Q11" s="18">
        <f t="shared" si="9"/>
        <v>0</v>
      </c>
      <c r="R11" s="18">
        <f t="shared" si="10"/>
        <v>0</v>
      </c>
      <c r="S11" s="18">
        <f t="shared" si="0"/>
        <v>0</v>
      </c>
      <c r="T11" s="18">
        <f t="shared" si="11"/>
        <v>0</v>
      </c>
      <c r="U11" s="18">
        <f t="shared" si="1"/>
        <v>0</v>
      </c>
      <c r="V11" s="18">
        <f t="shared" si="2"/>
        <v>0</v>
      </c>
      <c r="X11" s="23">
        <f t="shared" si="12"/>
        <v>0</v>
      </c>
      <c r="Y11" s="23">
        <f t="shared" si="13"/>
        <v>0</v>
      </c>
      <c r="Z11" s="18">
        <f t="shared" si="14"/>
        <v>0</v>
      </c>
      <c r="AC11" s="24">
        <f t="shared" si="3"/>
        <v>0</v>
      </c>
      <c r="AD11" s="18">
        <f t="shared" si="4"/>
        <v>0</v>
      </c>
      <c r="AE11" s="18">
        <f t="shared" si="5"/>
        <v>0</v>
      </c>
      <c r="AF11" s="18">
        <f t="shared" si="6"/>
        <v>0</v>
      </c>
    </row>
    <row r="12" spans="1:34" x14ac:dyDescent="0.35">
      <c r="A12" s="80"/>
      <c r="B12" s="80" t="s">
        <v>120</v>
      </c>
      <c r="C12" s="80"/>
      <c r="D12" s="84"/>
      <c r="E12" s="84"/>
      <c r="F12" s="89"/>
      <c r="G12" s="76"/>
      <c r="H12" s="86"/>
      <c r="I12" s="85"/>
      <c r="J12" s="76"/>
      <c r="K12" s="86">
        <v>1.2</v>
      </c>
      <c r="L12" s="126">
        <v>1</v>
      </c>
      <c r="M12" s="127">
        <v>0.125</v>
      </c>
      <c r="N12" s="49">
        <f t="shared" si="7"/>
        <v>0</v>
      </c>
      <c r="P12" s="6">
        <f t="shared" si="8"/>
        <v>0</v>
      </c>
      <c r="Q12" s="18">
        <f t="shared" si="9"/>
        <v>0</v>
      </c>
      <c r="R12" s="18">
        <f t="shared" si="10"/>
        <v>0</v>
      </c>
      <c r="S12" s="18">
        <f t="shared" si="0"/>
        <v>0</v>
      </c>
      <c r="T12" s="18">
        <f t="shared" si="11"/>
        <v>0</v>
      </c>
      <c r="U12" s="18">
        <f t="shared" si="1"/>
        <v>0</v>
      </c>
      <c r="V12" s="18">
        <f t="shared" si="2"/>
        <v>0</v>
      </c>
      <c r="X12" s="23">
        <f t="shared" si="12"/>
        <v>0</v>
      </c>
      <c r="Y12" s="23">
        <f t="shared" si="13"/>
        <v>0</v>
      </c>
      <c r="Z12" s="18">
        <f t="shared" si="14"/>
        <v>0</v>
      </c>
      <c r="AC12" s="24">
        <f t="shared" si="3"/>
        <v>0</v>
      </c>
      <c r="AD12" s="18">
        <f t="shared" si="4"/>
        <v>0</v>
      </c>
      <c r="AE12" s="18">
        <f t="shared" si="5"/>
        <v>0</v>
      </c>
      <c r="AF12" s="18">
        <f t="shared" si="6"/>
        <v>0</v>
      </c>
    </row>
    <row r="13" spans="1:34" x14ac:dyDescent="0.35">
      <c r="A13" s="80"/>
      <c r="B13" s="80" t="s">
        <v>120</v>
      </c>
      <c r="C13" s="80"/>
      <c r="D13" s="84"/>
      <c r="E13" s="84"/>
      <c r="F13" s="89"/>
      <c r="G13" s="91"/>
      <c r="H13" s="86"/>
      <c r="I13" s="130"/>
      <c r="J13" s="76"/>
      <c r="K13" s="86">
        <v>1.2</v>
      </c>
      <c r="L13" s="126">
        <v>1</v>
      </c>
      <c r="M13" s="127">
        <v>0.125</v>
      </c>
      <c r="N13" s="49">
        <f t="shared" si="7"/>
        <v>0</v>
      </c>
      <c r="P13" s="6">
        <f t="shared" si="8"/>
        <v>0</v>
      </c>
      <c r="Q13" s="18">
        <f t="shared" si="9"/>
        <v>0</v>
      </c>
      <c r="R13" s="18">
        <f t="shared" si="10"/>
        <v>0</v>
      </c>
      <c r="S13" s="18">
        <f t="shared" si="0"/>
        <v>0</v>
      </c>
      <c r="T13" s="18">
        <f t="shared" si="11"/>
        <v>0</v>
      </c>
      <c r="U13" s="18">
        <f t="shared" ref="U13" si="15">S13+T13</f>
        <v>0</v>
      </c>
      <c r="V13" s="18">
        <f t="shared" ref="V13" si="16">U13+SUM(AC13:AF13)</f>
        <v>0</v>
      </c>
      <c r="X13" s="23">
        <f t="shared" si="12"/>
        <v>0</v>
      </c>
      <c r="Y13" s="23">
        <f t="shared" si="13"/>
        <v>0</v>
      </c>
      <c r="Z13" s="18">
        <f t="shared" si="14"/>
        <v>0</v>
      </c>
      <c r="AC13" s="24">
        <f>IF(B13="3.3V LVDS", IF(D13=0,(4.543/$B$5)*$B$5^2*G13,(2.937/$B$5)*$B$5^2*G13),0)</f>
        <v>0</v>
      </c>
      <c r="AD13" s="18">
        <f>IF(B13="3.3V LVDS", IF(D13=0,0.165*$B$2^2*G13,(0.1317*$B$2^2*G13)),0)</f>
        <v>0</v>
      </c>
      <c r="AE13" s="18">
        <f>IF(B13="3.3V LVDS",(0.707/$B$5)*$B$5^2*F13,0)</f>
        <v>0</v>
      </c>
      <c r="AF13" s="18">
        <f t="shared" si="6"/>
        <v>0</v>
      </c>
    </row>
    <row r="14" spans="1:34" x14ac:dyDescent="0.35">
      <c r="A14" s="80"/>
      <c r="B14" s="80" t="s">
        <v>120</v>
      </c>
      <c r="C14" s="80"/>
      <c r="D14" s="84"/>
      <c r="E14" s="84"/>
      <c r="F14" s="89"/>
      <c r="G14" s="76"/>
      <c r="H14" s="129"/>
      <c r="I14" s="131"/>
      <c r="J14" s="76"/>
      <c r="K14" s="86">
        <v>1.2</v>
      </c>
      <c r="L14" s="126">
        <v>1</v>
      </c>
      <c r="M14" s="127">
        <v>0.125</v>
      </c>
      <c r="N14" s="49">
        <f t="shared" si="7"/>
        <v>0</v>
      </c>
      <c r="P14" s="6">
        <f t="shared" si="8"/>
        <v>0</v>
      </c>
      <c r="Q14" s="18">
        <f t="shared" si="9"/>
        <v>0</v>
      </c>
      <c r="R14" s="18">
        <f t="shared" si="10"/>
        <v>0</v>
      </c>
      <c r="S14" s="18">
        <f t="shared" si="0"/>
        <v>0</v>
      </c>
      <c r="T14" s="18">
        <f t="shared" si="11"/>
        <v>0</v>
      </c>
      <c r="U14" s="18">
        <f t="shared" ref="U14:U18" si="17">S14+T14</f>
        <v>0</v>
      </c>
      <c r="V14" s="18">
        <f t="shared" ref="V14:V18" si="18">U14+SUM(AC14:AF14)</f>
        <v>0</v>
      </c>
      <c r="X14" s="23">
        <f t="shared" si="12"/>
        <v>0</v>
      </c>
      <c r="Y14" s="23">
        <f t="shared" si="13"/>
        <v>0</v>
      </c>
      <c r="Z14" s="18">
        <f t="shared" si="14"/>
        <v>0</v>
      </c>
      <c r="AC14" s="24">
        <f t="shared" si="3"/>
        <v>0</v>
      </c>
      <c r="AD14" s="18">
        <f t="shared" si="4"/>
        <v>0</v>
      </c>
      <c r="AE14" s="18">
        <f t="shared" si="5"/>
        <v>0</v>
      </c>
      <c r="AF14" s="18">
        <f t="shared" si="6"/>
        <v>0</v>
      </c>
    </row>
    <row r="15" spans="1:34" hidden="1" x14ac:dyDescent="0.35">
      <c r="A15" s="80"/>
      <c r="B15" s="80" t="s">
        <v>120</v>
      </c>
      <c r="C15" s="80"/>
      <c r="D15" s="84"/>
      <c r="E15" s="84"/>
      <c r="F15" s="89"/>
      <c r="G15" s="80"/>
      <c r="H15" s="129"/>
      <c r="I15" s="131"/>
      <c r="J15" s="87"/>
      <c r="K15" s="86">
        <v>1.2</v>
      </c>
      <c r="L15" s="126">
        <v>1</v>
      </c>
      <c r="M15" s="127">
        <v>0.125</v>
      </c>
      <c r="N15" s="49">
        <f t="shared" si="7"/>
        <v>0</v>
      </c>
      <c r="P15" s="6">
        <f t="shared" si="8"/>
        <v>0</v>
      </c>
      <c r="Q15" s="18">
        <f t="shared" si="9"/>
        <v>0</v>
      </c>
      <c r="R15" s="18">
        <f t="shared" si="10"/>
        <v>0</v>
      </c>
      <c r="S15" s="18">
        <f t="shared" si="0"/>
        <v>0</v>
      </c>
      <c r="T15" s="18">
        <f t="shared" si="11"/>
        <v>0</v>
      </c>
      <c r="U15" s="18">
        <f t="shared" si="17"/>
        <v>0</v>
      </c>
      <c r="V15" s="18">
        <f t="shared" si="18"/>
        <v>0</v>
      </c>
      <c r="X15" s="23">
        <f t="shared" ref="X15:X18" si="19">IF(I15="SDR",IF(B15="1.8V LVCMOS",(((1/2)*K15*($B$3^2)*J15*G15)*((M15))+((1/2)*K15*($B$3^2)*J15*H15)*((M15)*(L15)))*0.00105,0),IF(B15="1.8V LVCMOS",((K15*($B$3^2)*J15*G15)*((M15))+(K15*($B$3^2)*J15*H15)*((M15)*(L15)))*0.00105,0))</f>
        <v>0</v>
      </c>
      <c r="Y15" s="23">
        <f t="shared" ref="Y15:Y18" si="20">IF(I15="SDR",IF(B15="2.5V LVCMOS",(((1/2)*K15*($B$4^2)*J15*G15)*((M15))+((1/2)*K15*($B$4^2)*J15*H15)*((M15)*(L15)))*0.00105,0),IF(B15="2.5V LVCMOS",((K15*($B$4^2)*J15*G15)*((M15))+(K15*($B$4^2)*J15*H15)*((M15)*(L15)))*0.00105,0))</f>
        <v>0</v>
      </c>
      <c r="Z15" s="18">
        <f t="shared" ref="Z15:Z18" si="21">IF(I15="SDR",IF(B15="3.3V LVCMOS",(((1/2)*K15*($B$5^2)*J15*G15)*((M15))+((1/2)*K15*($B$5^2)*J15*H15)*((M15)*(L15)))*0.00105,IF(B15="3.3V LVTTL",(((1/2)*K15*($B$5^2)*J15*G15)*((M15))+((1/2)*K15*($B$5^2)*J15*H15)*((M15)*(L15)))*0.00105,IF(B15="3.3V LVDS as GPIO",(((1/2)*K15*($B$5^2)*J15*G15)*((M15))+((1/2)*K15*($B$5^2)*J15*H15)*((M15)*(L15)))*0.00105,0))),IF(B15="3.3V LVCMOS",((K15*($B$5^2)*J15*G15)*((M15))+(K15*($B$5^2)*J15*H15)*((M15)*(L15)))*0.00105,IF(B15="3.3V LVTTL",((K15*($B$5^2)*J15*G15)*((M15))+(K15*($B$5^2)*J15*H15)*((M15)*(L15)))*0.00105,IF(B15="3.3V LVDS as GPIO",((K15*($B$5^2)*J15*G15)*((M15))+(K15*($B$5^2)*J15*H15)*((M15)*(L15)))*0.00105,0))))</f>
        <v>0</v>
      </c>
      <c r="AC15" s="24">
        <f t="shared" si="3"/>
        <v>0</v>
      </c>
      <c r="AD15" s="18">
        <f t="shared" si="4"/>
        <v>0</v>
      </c>
      <c r="AE15" s="18">
        <f t="shared" si="5"/>
        <v>0</v>
      </c>
      <c r="AF15" s="18">
        <f t="shared" si="6"/>
        <v>0</v>
      </c>
    </row>
    <row r="16" spans="1:34" hidden="1" x14ac:dyDescent="0.35">
      <c r="A16" s="80"/>
      <c r="B16" s="80" t="s">
        <v>120</v>
      </c>
      <c r="C16" s="80"/>
      <c r="D16" s="84"/>
      <c r="E16" s="84"/>
      <c r="F16" s="89"/>
      <c r="G16" s="80"/>
      <c r="H16" s="129"/>
      <c r="I16" s="131"/>
      <c r="J16" s="87"/>
      <c r="K16" s="86">
        <v>1.2</v>
      </c>
      <c r="L16" s="126">
        <v>1</v>
      </c>
      <c r="M16" s="127">
        <v>0.125</v>
      </c>
      <c r="N16" s="49">
        <f t="shared" si="7"/>
        <v>0</v>
      </c>
      <c r="P16" s="6">
        <f t="shared" si="8"/>
        <v>0</v>
      </c>
      <c r="Q16" s="18">
        <f t="shared" si="9"/>
        <v>0</v>
      </c>
      <c r="R16" s="18">
        <f t="shared" si="10"/>
        <v>0</v>
      </c>
      <c r="S16" s="18">
        <f t="shared" si="0"/>
        <v>0</v>
      </c>
      <c r="T16" s="18">
        <f t="shared" si="11"/>
        <v>0</v>
      </c>
      <c r="U16" s="18">
        <f t="shared" si="17"/>
        <v>0</v>
      </c>
      <c r="V16" s="18">
        <f t="shared" si="18"/>
        <v>0</v>
      </c>
      <c r="X16" s="23">
        <f t="shared" si="19"/>
        <v>0</v>
      </c>
      <c r="Y16" s="23">
        <f t="shared" si="20"/>
        <v>0</v>
      </c>
      <c r="Z16" s="18">
        <f t="shared" si="21"/>
        <v>0</v>
      </c>
      <c r="AC16" s="24">
        <f t="shared" si="3"/>
        <v>0</v>
      </c>
      <c r="AD16" s="18">
        <f t="shared" si="4"/>
        <v>0</v>
      </c>
      <c r="AE16" s="18">
        <f t="shared" si="5"/>
        <v>0</v>
      </c>
      <c r="AF16" s="18">
        <f t="shared" si="6"/>
        <v>0</v>
      </c>
    </row>
    <row r="17" spans="1:32" hidden="1" x14ac:dyDescent="0.35">
      <c r="A17" s="80"/>
      <c r="B17" s="80" t="s">
        <v>120</v>
      </c>
      <c r="C17" s="80"/>
      <c r="D17" s="84"/>
      <c r="E17" s="84"/>
      <c r="F17" s="89"/>
      <c r="G17" s="80"/>
      <c r="H17" s="129"/>
      <c r="I17" s="131"/>
      <c r="J17" s="87"/>
      <c r="K17" s="86">
        <v>1.2</v>
      </c>
      <c r="L17" s="126">
        <v>1</v>
      </c>
      <c r="M17" s="127">
        <v>0.125</v>
      </c>
      <c r="N17" s="49">
        <f t="shared" si="7"/>
        <v>0</v>
      </c>
      <c r="P17" s="6">
        <f t="shared" si="8"/>
        <v>0</v>
      </c>
      <c r="Q17" s="18">
        <f t="shared" si="9"/>
        <v>0</v>
      </c>
      <c r="R17" s="18">
        <f t="shared" si="10"/>
        <v>0</v>
      </c>
      <c r="S17" s="18">
        <f t="shared" si="0"/>
        <v>0</v>
      </c>
      <c r="T17" s="18">
        <f t="shared" si="11"/>
        <v>0</v>
      </c>
      <c r="U17" s="18">
        <f t="shared" si="17"/>
        <v>0</v>
      </c>
      <c r="V17" s="18">
        <f t="shared" si="18"/>
        <v>0</v>
      </c>
      <c r="X17" s="23">
        <f t="shared" si="19"/>
        <v>0</v>
      </c>
      <c r="Y17" s="23">
        <f t="shared" si="20"/>
        <v>0</v>
      </c>
      <c r="Z17" s="18">
        <f t="shared" si="21"/>
        <v>0</v>
      </c>
      <c r="AC17" s="24">
        <f t="shared" si="3"/>
        <v>0</v>
      </c>
      <c r="AD17" s="18">
        <f t="shared" si="4"/>
        <v>0</v>
      </c>
      <c r="AE17" s="18">
        <f t="shared" si="5"/>
        <v>0</v>
      </c>
      <c r="AF17" s="18">
        <f t="shared" si="6"/>
        <v>0</v>
      </c>
    </row>
    <row r="18" spans="1:32" hidden="1" x14ac:dyDescent="0.35">
      <c r="A18" s="80"/>
      <c r="B18" s="80" t="s">
        <v>120</v>
      </c>
      <c r="C18" s="80"/>
      <c r="D18" s="84"/>
      <c r="E18" s="84"/>
      <c r="F18" s="89"/>
      <c r="G18" s="80"/>
      <c r="H18" s="129"/>
      <c r="I18" s="131"/>
      <c r="J18" s="87"/>
      <c r="K18" s="86">
        <v>1.2</v>
      </c>
      <c r="L18" s="126">
        <v>1</v>
      </c>
      <c r="M18" s="127">
        <v>0.125</v>
      </c>
      <c r="N18" s="49">
        <f t="shared" si="7"/>
        <v>0</v>
      </c>
      <c r="P18" s="6">
        <f t="shared" si="8"/>
        <v>0</v>
      </c>
      <c r="Q18" s="18">
        <f t="shared" si="9"/>
        <v>0</v>
      </c>
      <c r="R18" s="18">
        <f t="shared" si="10"/>
        <v>0</v>
      </c>
      <c r="S18" s="18">
        <f t="shared" si="0"/>
        <v>0</v>
      </c>
      <c r="T18" s="18">
        <f t="shared" si="11"/>
        <v>0</v>
      </c>
      <c r="U18" s="18">
        <f t="shared" si="17"/>
        <v>0</v>
      </c>
      <c r="V18" s="18">
        <f t="shared" si="18"/>
        <v>0</v>
      </c>
      <c r="X18" s="23">
        <f t="shared" si="19"/>
        <v>0</v>
      </c>
      <c r="Y18" s="23">
        <f t="shared" si="20"/>
        <v>0</v>
      </c>
      <c r="Z18" s="18">
        <f t="shared" si="21"/>
        <v>0</v>
      </c>
      <c r="AC18" s="24">
        <f>IF(B18="3.3V LVDS", IF(D18=0,(4.543/$B$5)*$B$5^2*G18,(2.937/$B$5)*$B$5^2*G18),0)</f>
        <v>0</v>
      </c>
      <c r="AD18" s="18">
        <f>IF(B18="3.3V LVDS", IF(D18=0,0.165*$B$2^2*G18,(0.1317*$B$2^2*G18)),0)</f>
        <v>0</v>
      </c>
      <c r="AE18" s="18">
        <f>IF(B18="3.3V LVDS",(0.707/$B$5)*$B$5^2*F18,0)</f>
        <v>0</v>
      </c>
      <c r="AF18" s="18">
        <f t="shared" si="6"/>
        <v>0</v>
      </c>
    </row>
    <row r="21" spans="1:32" x14ac:dyDescent="0.35">
      <c r="A21" s="1" t="s">
        <v>33</v>
      </c>
    </row>
    <row r="22" spans="1:32" x14ac:dyDescent="0.35">
      <c r="A22" s="90" t="s">
        <v>220</v>
      </c>
    </row>
    <row r="23" spans="1:32" ht="16.5" customHeight="1" x14ac:dyDescent="0.35"/>
    <row r="24" spans="1:32" hidden="1" x14ac:dyDescent="0.35"/>
    <row r="25" spans="1:32" hidden="1" x14ac:dyDescent="0.35">
      <c r="H25" s="32" t="s">
        <v>233</v>
      </c>
      <c r="I25" s="32" t="s">
        <v>234</v>
      </c>
    </row>
    <row r="26" spans="1:32" ht="15" hidden="1" customHeight="1" x14ac:dyDescent="0.35">
      <c r="B26" s="14"/>
      <c r="C26" s="12">
        <v>0</v>
      </c>
      <c r="D26" s="12">
        <v>0</v>
      </c>
      <c r="E26" s="12"/>
      <c r="F26" s="1" t="s">
        <v>57</v>
      </c>
      <c r="G26" s="1" t="s">
        <v>121</v>
      </c>
      <c r="H26" s="12" t="s">
        <v>122</v>
      </c>
      <c r="I26" s="12" t="s">
        <v>122</v>
      </c>
    </row>
    <row r="27" spans="1:32" ht="15" hidden="1" customHeight="1" x14ac:dyDescent="0.35">
      <c r="B27" s="14"/>
      <c r="C27" s="12">
        <v>1</v>
      </c>
      <c r="D27" s="12">
        <v>1</v>
      </c>
      <c r="E27" s="12"/>
      <c r="G27" s="1" t="s">
        <v>57</v>
      </c>
      <c r="H27" s="12" t="s">
        <v>123</v>
      </c>
      <c r="I27" s="12" t="s">
        <v>123</v>
      </c>
    </row>
    <row r="28" spans="1:32" ht="15" hidden="1" customHeight="1" x14ac:dyDescent="0.35">
      <c r="B28" s="14"/>
      <c r="D28" s="12">
        <v>2</v>
      </c>
      <c r="E28" s="12"/>
      <c r="H28" s="12" t="s">
        <v>124</v>
      </c>
      <c r="I28" s="12" t="s">
        <v>124</v>
      </c>
    </row>
    <row r="29" spans="1:32" ht="15" hidden="1" customHeight="1" x14ac:dyDescent="0.35">
      <c r="B29" s="15"/>
      <c r="D29" s="12">
        <v>3</v>
      </c>
      <c r="E29" s="12"/>
      <c r="H29" s="12" t="s">
        <v>125</v>
      </c>
      <c r="I29" s="12" t="s">
        <v>125</v>
      </c>
    </row>
    <row r="30" spans="1:32" ht="15" hidden="1" customHeight="1" x14ac:dyDescent="0.35">
      <c r="B30" s="16"/>
      <c r="H30" s="12" t="s">
        <v>120</v>
      </c>
    </row>
    <row r="31" spans="1:32" hidden="1" x14ac:dyDescent="0.35">
      <c r="B31" s="14"/>
      <c r="H31" s="12" t="s">
        <v>126</v>
      </c>
    </row>
    <row r="32" spans="1:32" hidden="1" x14ac:dyDescent="0.35"/>
    <row r="33" spans="8:22" hidden="1" x14ac:dyDescent="0.35">
      <c r="H33" s="1" t="str">
        <f>IF(calTotal!E7="W80", "NoLVDS", "withLVDS")</f>
        <v>withLVDS</v>
      </c>
      <c r="R33" s="62"/>
      <c r="S33" s="62"/>
      <c r="T33" s="62"/>
      <c r="U33" s="203"/>
      <c r="V33" s="203"/>
    </row>
    <row r="34" spans="8:22" x14ac:dyDescent="0.35">
      <c r="P34" s="62"/>
      <c r="Q34" s="62"/>
      <c r="R34"/>
      <c r="S34"/>
      <c r="T34"/>
      <c r="U34"/>
      <c r="V34"/>
    </row>
    <row r="35" spans="8:22" x14ac:dyDescent="0.35">
      <c r="P35"/>
      <c r="Q35" s="62"/>
      <c r="R35"/>
      <c r="S35"/>
      <c r="T35"/>
      <c r="U35"/>
      <c r="V35"/>
    </row>
    <row r="36" spans="8:22" x14ac:dyDescent="0.35">
      <c r="P36"/>
      <c r="Q36"/>
      <c r="R36"/>
      <c r="S36"/>
      <c r="T36"/>
      <c r="U36"/>
      <c r="V36"/>
    </row>
    <row r="37" spans="8:22" x14ac:dyDescent="0.35">
      <c r="P37"/>
      <c r="Q37"/>
      <c r="R37"/>
      <c r="S37"/>
      <c r="T37"/>
      <c r="U37"/>
      <c r="V37"/>
    </row>
    <row r="38" spans="8:22" x14ac:dyDescent="0.35">
      <c r="P38"/>
      <c r="Q38"/>
      <c r="R38"/>
      <c r="S38"/>
      <c r="T38"/>
      <c r="U38"/>
      <c r="V38"/>
    </row>
    <row r="39" spans="8:22" x14ac:dyDescent="0.35">
      <c r="P39"/>
      <c r="Q39"/>
      <c r="R39"/>
      <c r="S39"/>
      <c r="T39"/>
      <c r="U39"/>
      <c r="V39"/>
    </row>
    <row r="40" spans="8:22" x14ac:dyDescent="0.35">
      <c r="P40"/>
      <c r="Q40"/>
      <c r="R40"/>
      <c r="S40" s="62"/>
      <c r="T40" s="62"/>
      <c r="U40" s="203"/>
      <c r="V40" s="203"/>
    </row>
    <row r="41" spans="8:22" x14ac:dyDescent="0.35">
      <c r="P41"/>
      <c r="Q41"/>
      <c r="R41"/>
      <c r="S41" s="25"/>
      <c r="T41" s="25"/>
      <c r="U41"/>
      <c r="V41"/>
    </row>
    <row r="42" spans="8:22" x14ac:dyDescent="0.35">
      <c r="P42"/>
      <c r="Q42"/>
      <c r="R42" s="62"/>
      <c r="S42"/>
      <c r="T42"/>
    </row>
    <row r="43" spans="8:22" x14ac:dyDescent="0.35">
      <c r="Q43"/>
      <c r="R43" s="25"/>
    </row>
  </sheetData>
  <sheetProtection algorithmName="SHA-512" hashValue="vRhMC7r7pJzrwsms5GckNYS+jtsHCdD16Xmp4LjDrmSuQN2G0bQrwtlGG+5liXTr3xvtWrA2YrAqFM1JOGk6yg==" saltValue="jXtaU9QXaERk+LCnftrgUQ==" spinCount="100000" sheet="1" objects="1" scenarios="1"/>
  <mergeCells count="7">
    <mergeCell ref="U33:V33"/>
    <mergeCell ref="U40:V40"/>
    <mergeCell ref="AD1:AE1"/>
    <mergeCell ref="A6:B6"/>
    <mergeCell ref="R1:S1"/>
    <mergeCell ref="A1:D1"/>
    <mergeCell ref="P1:Q1"/>
  </mergeCells>
  <conditionalFormatting sqref="C9:C18">
    <cfRule type="expression" dxfId="3" priority="4">
      <formula>B9="3.3V LVDS"</formula>
    </cfRule>
  </conditionalFormatting>
  <conditionalFormatting sqref="D9:F18">
    <cfRule type="expression" dxfId="2" priority="3">
      <formula>$B9="3.3V LVDS"</formula>
    </cfRule>
  </conditionalFormatting>
  <conditionalFormatting sqref="H9:I18">
    <cfRule type="expression" dxfId="1" priority="2">
      <formula>$B9="3.3V LVDS"</formula>
    </cfRule>
  </conditionalFormatting>
  <conditionalFormatting sqref="K9:K18">
    <cfRule type="expression" dxfId="0" priority="1">
      <formula>$B9="3.3V LVDS"</formula>
    </cfRule>
  </conditionalFormatting>
  <dataValidations count="25">
    <dataValidation allowBlank="1" showInputMessage="1" showErrorMessage="1" promptTitle="Data Rate" prompt="SDR = Single Data Rate_x000a_DDR = Double Data Rate" sqref="I8" xr:uid="{028A12BF-BBED-4F7E-8E21-AF4B6B66C711}"/>
    <dataValidation allowBlank="1" showInputMessage="1" showErrorMessage="1" promptTitle="Activity Factor" prompt="The output change value with respect to the clock cycle. An AF of 100% meant every positive edge (or every negative edge) of the clock, the output is changing value" sqref="M8" xr:uid="{DD7696EE-B1AD-474D-B364-50680D997B8B}"/>
    <dataValidation allowBlank="1" showInputMessage="1" showErrorMessage="1" promptTitle="Output Enable" prompt="The average percentage of time that output is enabled. Maximum is 100%" sqref="L8" xr:uid="{F9FAEA4D-B0AF-4DE0-8E0F-6DF523E50E2D}"/>
    <dataValidation type="list" allowBlank="1" showInputMessage="1" showErrorMessage="1" sqref="E9:E18" xr:uid="{8DAD7299-1B86-441B-8764-5F443E245C03}">
      <formula1>$D$26:$D$29</formula1>
    </dataValidation>
    <dataValidation type="list" allowBlank="1" showInputMessage="1" showErrorMessage="1" sqref="D9:E18" xr:uid="{9FA5DD69-6514-4F77-A344-94DFEE8703F4}">
      <formula1>$C$26:$C$27</formula1>
    </dataValidation>
    <dataValidation type="whole" allowBlank="1" showInputMessage="1" showErrorMessage="1" error="Valid range from 0 - 595" sqref="G15:G18" xr:uid="{4F93EC50-50B4-496C-85D0-39C8055A068A}">
      <formula1>0</formula1>
      <formula2>595</formula2>
    </dataValidation>
    <dataValidation type="decimal" allowBlank="1" showInputMessage="1" showErrorMessage="1" error="Only valid from 0% - 100%_x000a_" sqref="L9:M18" xr:uid="{BA00894C-3F90-425A-9BAD-5C2A2FBE16E6}">
      <formula1>0</formula1>
      <formula2>1</formula2>
    </dataValidation>
    <dataValidation type="list" allowBlank="1" showInputMessage="1" showErrorMessage="1" sqref="B15:B18" xr:uid="{5C091380-2EC2-4B3C-BD1A-F8DA0B528E30}">
      <formula1>$H$26:$H$31</formula1>
    </dataValidation>
    <dataValidation allowBlank="1" showInputMessage="1" showErrorMessage="1" promptTitle="Load Setting" prompt="Only for LVDS TX _x000a__x000a_0: 3pF output load setting in Efinity_x000a_1: 5pF output load setting in Efinity_x000a_2: 7pF output load setting in Efinity_x000a_3: 10pF output load setting in Efinity" sqref="E8" xr:uid="{5CE3A76C-81B6-443C-BD27-395154317029}"/>
    <dataValidation allowBlank="1" showInputMessage="1" showErrorMessage="1" promptTitle="VOD" prompt="Only for LVDS TX_x000a__x000a_0: Disable VOD swing (uncheck &quot;Reduce VOD swing&quot; checkbox&quot;)  _x000a_1: Enable VOD swing (check &quot;Reduce VOD swing&quot; checkbox)" sqref="D8" xr:uid="{A5DED889-4E37-4833-B660-746A40365BF4}"/>
    <dataValidation type="list" allowBlank="1" showInputMessage="1" showErrorMessage="1" sqref="I9:I18" xr:uid="{5453AE28-A6ED-4557-8AE1-07DD994DD834}">
      <formula1>IF($B$9="3.3V LVDS",$F$26,$G$26:$G$27)</formula1>
    </dataValidation>
    <dataValidation allowBlank="1" showInputMessage="1" showErrorMessage="1" promptTitle="Number of Bidirectional IO" prompt="Not available for &quot;3.3V LVDS&quot; IO standard._x000a_For others IO standard, 1 = 1 IO" sqref="H8" xr:uid="{6FB669A2-D26D-4131-8DE1-9A657F30569F}"/>
    <dataValidation allowBlank="1" showInputMessage="1" showErrorMessage="1" promptTitle="Number of Input Pins" prompt="Only available for &quot;3.3V LVDS&quot; IO standard._x000a_For &quot;3.3V LVDS&quot; IO standard, 1 = 1 pair (P&amp;N) of LVDS channel_x000a_" sqref="F8" xr:uid="{A3080C80-A6E4-461B-8569-4F9F8D727C5D}"/>
    <dataValidation allowBlank="1" showInputMessage="1" showErrorMessage="1" promptTitle="Number of Output Pins" prompt="For &quot;3.3V LVDS&quot; IO standard, 1 = 1 pair (P&amp;N) of LVDS channel._x000a_For others IO standard, 1 = 1 IO" sqref="G8" xr:uid="{77C06545-1861-4ECE-A4FE-2AE6643389BB}"/>
    <dataValidation allowBlank="1" showInputMessage="1" showErrorMessage="1" promptTitle="Load" prompt="Require to insert total loading (die capacitance + package capacitance+ board capacitance). Estimated die + package capacitance is 1 to 2pF " sqref="K8" xr:uid="{14EA43AA-8C89-4502-8FF9-1C0A83961BFC}"/>
    <dataValidation type="whole" operator="greaterThanOrEqual" allowBlank="1" showInputMessage="1" showErrorMessage="1" error="Valid number must be greater than or equal to 0" sqref="F9:H14" xr:uid="{1E3FEEB9-0105-4038-86FD-AF493CED1F41}">
      <formula1>0</formula1>
    </dataValidation>
    <dataValidation type="decimal" operator="greaterThanOrEqual" allowBlank="1" showInputMessage="1" showErrorMessage="1" error="Valid number must be greater than or equal to 0" sqref="K9:K14" xr:uid="{871CAF9F-6BAB-4281-B8D8-5743D40A024E}">
      <formula1>0</formula1>
    </dataValidation>
    <dataValidation type="list" allowBlank="1" showInputMessage="1" showErrorMessage="1" sqref="B9" xr:uid="{4D3A2257-1E83-4664-B89E-418151BFCCF5}">
      <formula1>INDIRECT(H33)</formula1>
    </dataValidation>
    <dataValidation type="list" allowBlank="1" showInputMessage="1" showErrorMessage="1" sqref="I34" xr:uid="{6DBAB303-43CC-443C-A005-720689BC122C}">
      <formula1>INDIRECT(H33)</formula1>
    </dataValidation>
    <dataValidation type="list" allowBlank="1" showInputMessage="1" showErrorMessage="1" sqref="B10" xr:uid="{B4E2F4F6-3A92-4281-B7C3-72AF80A339DA}">
      <formula1>INDIRECT(H33)</formula1>
    </dataValidation>
    <dataValidation type="list" allowBlank="1" showInputMessage="1" showErrorMessage="1" sqref="B11" xr:uid="{AC2B4D8D-AD45-4250-8973-0184282EFF60}">
      <formula1>INDIRECT(H33)</formula1>
    </dataValidation>
    <dataValidation type="list" allowBlank="1" showInputMessage="1" showErrorMessage="1" sqref="B12" xr:uid="{B10DA759-0E72-46EC-B3DC-1B4DF810A73B}">
      <formula1>INDIRECT(H33)</formula1>
    </dataValidation>
    <dataValidation type="list" allowBlank="1" showInputMessage="1" showErrorMessage="1" sqref="B13" xr:uid="{78AD46E2-1306-498C-AFF6-1F5D4991BC36}">
      <formula1>INDIRECT(H33)</formula1>
    </dataValidation>
    <dataValidation type="list" allowBlank="1" showInputMessage="1" showErrorMessage="1" sqref="B14" xr:uid="{25AA1B57-F608-49ED-8FD8-A95A23FFE3AE}">
      <formula1>INDIRECT(H33)</formula1>
    </dataValidation>
    <dataValidation type="decimal" allowBlank="1" showInputMessage="1" showErrorMessage="1" error="Valid range from 0 - 800 MHz" sqref="J9:J18" xr:uid="{4F31434A-712D-4551-B7B0-7400AAB4AA08}">
      <formula1>0</formula1>
      <formula2>800</formula2>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J26"/>
  <sheetViews>
    <sheetView showGridLines="0" showRowColHeaders="0" zoomScaleNormal="100" workbookViewId="0">
      <selection sqref="A1:C1"/>
    </sheetView>
  </sheetViews>
  <sheetFormatPr defaultColWidth="9.1796875" defaultRowHeight="14.5" x14ac:dyDescent="0.35"/>
  <cols>
    <col min="1" max="1" width="13.453125" style="1" customWidth="1"/>
    <col min="2" max="3" width="21.26953125" style="1" customWidth="1"/>
    <col min="4" max="4" width="12.54296875" style="1" customWidth="1"/>
    <col min="5" max="5" width="9.1796875" style="1"/>
    <col min="6" max="6" width="9.453125" style="1" customWidth="1"/>
    <col min="7" max="7" width="9" style="1" hidden="1" customWidth="1"/>
    <col min="8" max="8" width="8.54296875" style="1" hidden="1" customWidth="1"/>
    <col min="9" max="9" width="6.26953125" style="1" hidden="1" customWidth="1"/>
    <col min="10" max="10" width="5.81640625" style="1" hidden="1" customWidth="1"/>
    <col min="11" max="16384" width="9.1796875" style="1"/>
  </cols>
  <sheetData>
    <row r="1" spans="1:10" ht="26" x14ac:dyDescent="0.35">
      <c r="A1" s="202" t="s">
        <v>127</v>
      </c>
      <c r="B1" s="202"/>
      <c r="C1" s="202"/>
    </row>
    <row r="2" spans="1:10" ht="21" x14ac:dyDescent="0.5">
      <c r="A2" s="102" t="s">
        <v>24</v>
      </c>
      <c r="B2" s="103">
        <f>IF(calTotal!E10="No",IF(calTotal!E11="Nominal",1.2,IF(calTotal!E11="Minimum",1.15,IF(calTotal!E11="Maximum",1.25,"Invalid"))),IF(calTotal!E11="Nominal",1.1,IF(calTotal!E11="Minimum",1.05,IF(calTotal!E11="Maximum",1.15,"Invalid"))))</f>
        <v>1.2</v>
      </c>
      <c r="C2" s="104">
        <f>IF(SUM(D7:D25)&gt;0,SUM(G7:G25)+SUM(I7:I25),0)</f>
        <v>0</v>
      </c>
    </row>
    <row r="3" spans="1:10" ht="21" x14ac:dyDescent="0.5">
      <c r="A3" s="102" t="s">
        <v>48</v>
      </c>
      <c r="B3" s="103">
        <f>IF(calTotal!E10="No",IF(calTotal!E11="Nominal",1.2,IF(calTotal!E11="Minimum",1.15,IF(calTotal!E11="Maximum",1.25,"Invalid"))),IF(calTotal!E11="Nominal",1.1,IF(calTotal!E11="Minimum",1.05,IF(calTotal!E11="Maximum",1.15,"Invalid"))))</f>
        <v>1.2</v>
      </c>
      <c r="C3" s="104">
        <f>IF(SUM(D7:D25)&gt;0,SUM(H7:H25)+SUM(J7:J25),0)</f>
        <v>0</v>
      </c>
    </row>
    <row r="4" spans="1:10" ht="21" hidden="1" x14ac:dyDescent="0.5">
      <c r="A4" s="102" t="s">
        <v>128</v>
      </c>
      <c r="B4" s="103">
        <f>IF(calTotal!E11="Nominal",1.2,IF(calTotal!E11="Minimum",1.15,IF(calTotal!E11="Maximum",1.25,"Invalid")))</f>
        <v>1.2</v>
      </c>
      <c r="C4" s="104">
        <f>SUM(C2:C3)</f>
        <v>0</v>
      </c>
    </row>
    <row r="5" spans="1:10" x14ac:dyDescent="0.35">
      <c r="G5" s="12" t="s">
        <v>99</v>
      </c>
      <c r="H5" s="12" t="s">
        <v>100</v>
      </c>
      <c r="I5" s="12" t="s">
        <v>129</v>
      </c>
      <c r="J5" s="12" t="s">
        <v>102</v>
      </c>
    </row>
    <row r="6" spans="1:10" ht="29" x14ac:dyDescent="0.35">
      <c r="A6" s="106" t="s">
        <v>83</v>
      </c>
      <c r="B6" s="114" t="s">
        <v>130</v>
      </c>
      <c r="C6" s="114" t="s">
        <v>131</v>
      </c>
      <c r="D6" s="114" t="s">
        <v>88</v>
      </c>
      <c r="G6" s="12" t="s">
        <v>24</v>
      </c>
      <c r="H6" s="12" t="s">
        <v>48</v>
      </c>
      <c r="I6" s="12" t="s">
        <v>24</v>
      </c>
      <c r="J6" s="12" t="s">
        <v>48</v>
      </c>
    </row>
    <row r="7" spans="1:10" x14ac:dyDescent="0.35">
      <c r="A7" s="80"/>
      <c r="B7" s="80"/>
      <c r="C7" s="80"/>
      <c r="D7" s="49">
        <f>IF(AND(B7&gt;0,C7&gt;0),SUM(G7:J7),0)</f>
        <v>0</v>
      </c>
      <c r="G7" s="12">
        <f>IF(B7&gt;0,((0.00099625*B7)*($B$2^2)),0)</f>
        <v>0</v>
      </c>
      <c r="H7" s="12">
        <f>IF(C7&gt;0,((0.002333*C7)*($B$3^2)),0)</f>
        <v>0</v>
      </c>
      <c r="I7" s="12">
        <f>IF(B7&gt;0,((0.431083)*($B$2^2)),0)</f>
        <v>0</v>
      </c>
      <c r="J7" s="12">
        <f>IF(C7&gt;0,((0.56382)*($B$3^2)),0)</f>
        <v>0</v>
      </c>
    </row>
    <row r="8" spans="1:10" x14ac:dyDescent="0.35">
      <c r="A8" s="80"/>
      <c r="B8" s="80"/>
      <c r="C8" s="80"/>
      <c r="D8" s="49">
        <f t="shared" ref="D8:D24" si="0">IF(AND(B8&gt;0,C8&gt;0),SUM(G8:J8),0)</f>
        <v>0</v>
      </c>
      <c r="G8" s="12">
        <f t="shared" ref="G8:G24" si="1">IF(B8&gt;0,((0.00099625*B8)*($B$2^2)),0)</f>
        <v>0</v>
      </c>
      <c r="H8" s="12">
        <f t="shared" ref="H8:H24" si="2">IF(C8&gt;0,((0.002333*C8)*($B$3^2)),0)</f>
        <v>0</v>
      </c>
      <c r="I8" s="12">
        <f t="shared" ref="I8:I24" si="3">IF(B8&gt;0,((0.431083)*($B$2^2)),0)</f>
        <v>0</v>
      </c>
      <c r="J8" s="12">
        <f t="shared" ref="J8:J24" si="4">IF(C8&gt;0,((0.56382)*($B$3^2)),0)</f>
        <v>0</v>
      </c>
    </row>
    <row r="9" spans="1:10" x14ac:dyDescent="0.35">
      <c r="A9" s="80"/>
      <c r="B9" s="80"/>
      <c r="C9" s="80"/>
      <c r="D9" s="49">
        <f t="shared" si="0"/>
        <v>0</v>
      </c>
      <c r="G9" s="12">
        <f t="shared" si="1"/>
        <v>0</v>
      </c>
      <c r="H9" s="12">
        <f t="shared" si="2"/>
        <v>0</v>
      </c>
      <c r="I9" s="12">
        <f t="shared" si="3"/>
        <v>0</v>
      </c>
      <c r="J9" s="12">
        <f t="shared" si="4"/>
        <v>0</v>
      </c>
    </row>
    <row r="10" spans="1:10" x14ac:dyDescent="0.35">
      <c r="A10" s="80"/>
      <c r="B10" s="80"/>
      <c r="C10" s="80"/>
      <c r="D10" s="49">
        <f t="shared" si="0"/>
        <v>0</v>
      </c>
      <c r="G10" s="12">
        <f t="shared" si="1"/>
        <v>0</v>
      </c>
      <c r="H10" s="12">
        <f t="shared" si="2"/>
        <v>0</v>
      </c>
      <c r="I10" s="12">
        <f t="shared" si="3"/>
        <v>0</v>
      </c>
      <c r="J10" s="12">
        <f t="shared" si="4"/>
        <v>0</v>
      </c>
    </row>
    <row r="11" spans="1:10" x14ac:dyDescent="0.35">
      <c r="A11" s="80"/>
      <c r="B11" s="80"/>
      <c r="C11" s="80"/>
      <c r="D11" s="49">
        <f t="shared" si="0"/>
        <v>0</v>
      </c>
      <c r="G11" s="12">
        <f t="shared" si="1"/>
        <v>0</v>
      </c>
      <c r="H11" s="12">
        <f t="shared" si="2"/>
        <v>0</v>
      </c>
      <c r="I11" s="12">
        <f t="shared" si="3"/>
        <v>0</v>
      </c>
      <c r="J11" s="12">
        <f t="shared" si="4"/>
        <v>0</v>
      </c>
    </row>
    <row r="12" spans="1:10" x14ac:dyDescent="0.35">
      <c r="A12" s="80"/>
      <c r="B12" s="80"/>
      <c r="C12" s="80"/>
      <c r="D12" s="49">
        <f t="shared" si="0"/>
        <v>0</v>
      </c>
      <c r="G12" s="12">
        <f t="shared" si="1"/>
        <v>0</v>
      </c>
      <c r="H12" s="12">
        <f t="shared" si="2"/>
        <v>0</v>
      </c>
      <c r="I12" s="12">
        <f t="shared" si="3"/>
        <v>0</v>
      </c>
      <c r="J12" s="12">
        <f t="shared" si="4"/>
        <v>0</v>
      </c>
    </row>
    <row r="13" spans="1:10" hidden="1" x14ac:dyDescent="0.35">
      <c r="A13" s="80"/>
      <c r="B13" s="80"/>
      <c r="C13" s="80"/>
      <c r="D13" s="49">
        <f t="shared" si="0"/>
        <v>0</v>
      </c>
      <c r="G13" s="12">
        <f t="shared" si="1"/>
        <v>0</v>
      </c>
      <c r="H13" s="12">
        <f t="shared" si="2"/>
        <v>0</v>
      </c>
      <c r="I13" s="12">
        <f t="shared" si="3"/>
        <v>0</v>
      </c>
      <c r="J13" s="12">
        <f t="shared" si="4"/>
        <v>0</v>
      </c>
    </row>
    <row r="14" spans="1:10" hidden="1" x14ac:dyDescent="0.35">
      <c r="A14" s="80"/>
      <c r="B14" s="80"/>
      <c r="C14" s="80"/>
      <c r="D14" s="49">
        <f t="shared" si="0"/>
        <v>0</v>
      </c>
      <c r="G14" s="12">
        <f t="shared" si="1"/>
        <v>0</v>
      </c>
      <c r="H14" s="12">
        <f t="shared" si="2"/>
        <v>0</v>
      </c>
      <c r="I14" s="12">
        <f t="shared" si="3"/>
        <v>0</v>
      </c>
      <c r="J14" s="12">
        <f t="shared" si="4"/>
        <v>0</v>
      </c>
    </row>
    <row r="15" spans="1:10" hidden="1" x14ac:dyDescent="0.35">
      <c r="A15" s="80"/>
      <c r="B15" s="80"/>
      <c r="C15" s="80"/>
      <c r="D15" s="49">
        <f t="shared" si="0"/>
        <v>0</v>
      </c>
      <c r="G15" s="12">
        <f t="shared" si="1"/>
        <v>0</v>
      </c>
      <c r="H15" s="12">
        <f t="shared" si="2"/>
        <v>0</v>
      </c>
      <c r="I15" s="12">
        <f t="shared" si="3"/>
        <v>0</v>
      </c>
      <c r="J15" s="12">
        <f t="shared" si="4"/>
        <v>0</v>
      </c>
    </row>
    <row r="16" spans="1:10" hidden="1" x14ac:dyDescent="0.35">
      <c r="A16" s="80"/>
      <c r="B16" s="80"/>
      <c r="C16" s="80"/>
      <c r="D16" s="49">
        <f t="shared" si="0"/>
        <v>0</v>
      </c>
      <c r="G16" s="12">
        <f t="shared" si="1"/>
        <v>0</v>
      </c>
      <c r="H16" s="12">
        <f t="shared" si="2"/>
        <v>0</v>
      </c>
      <c r="I16" s="12">
        <f t="shared" si="3"/>
        <v>0</v>
      </c>
      <c r="J16" s="12">
        <f t="shared" si="4"/>
        <v>0</v>
      </c>
    </row>
    <row r="17" spans="1:10" hidden="1" x14ac:dyDescent="0.35">
      <c r="A17" s="80"/>
      <c r="B17" s="80"/>
      <c r="C17" s="80"/>
      <c r="D17" s="49">
        <f t="shared" si="0"/>
        <v>0</v>
      </c>
      <c r="G17" s="12">
        <f t="shared" si="1"/>
        <v>0</v>
      </c>
      <c r="H17" s="12">
        <f t="shared" si="2"/>
        <v>0</v>
      </c>
      <c r="I17" s="12">
        <f t="shared" si="3"/>
        <v>0</v>
      </c>
      <c r="J17" s="12">
        <f t="shared" si="4"/>
        <v>0</v>
      </c>
    </row>
    <row r="18" spans="1:10" hidden="1" x14ac:dyDescent="0.35">
      <c r="A18" s="80"/>
      <c r="B18" s="80"/>
      <c r="C18" s="80"/>
      <c r="D18" s="49">
        <f t="shared" si="0"/>
        <v>0</v>
      </c>
      <c r="G18" s="12">
        <f t="shared" si="1"/>
        <v>0</v>
      </c>
      <c r="H18" s="12">
        <f t="shared" si="2"/>
        <v>0</v>
      </c>
      <c r="I18" s="12">
        <f t="shared" si="3"/>
        <v>0</v>
      </c>
      <c r="J18" s="12">
        <f t="shared" si="4"/>
        <v>0</v>
      </c>
    </row>
    <row r="19" spans="1:10" hidden="1" x14ac:dyDescent="0.35">
      <c r="A19" s="80"/>
      <c r="B19" s="80"/>
      <c r="C19" s="80"/>
      <c r="D19" s="49">
        <f t="shared" si="0"/>
        <v>0</v>
      </c>
      <c r="G19" s="12">
        <f t="shared" si="1"/>
        <v>0</v>
      </c>
      <c r="H19" s="12">
        <f t="shared" si="2"/>
        <v>0</v>
      </c>
      <c r="I19" s="12">
        <f t="shared" si="3"/>
        <v>0</v>
      </c>
      <c r="J19" s="12">
        <f t="shared" si="4"/>
        <v>0</v>
      </c>
    </row>
    <row r="20" spans="1:10" hidden="1" x14ac:dyDescent="0.35">
      <c r="A20" s="80"/>
      <c r="B20" s="80"/>
      <c r="C20" s="80"/>
      <c r="D20" s="49">
        <f t="shared" si="0"/>
        <v>0</v>
      </c>
      <c r="G20" s="12">
        <f t="shared" si="1"/>
        <v>0</v>
      </c>
      <c r="H20" s="12">
        <f t="shared" si="2"/>
        <v>0</v>
      </c>
      <c r="I20" s="12">
        <f t="shared" si="3"/>
        <v>0</v>
      </c>
      <c r="J20" s="12">
        <f t="shared" si="4"/>
        <v>0</v>
      </c>
    </row>
    <row r="21" spans="1:10" hidden="1" x14ac:dyDescent="0.35">
      <c r="A21" s="80"/>
      <c r="B21" s="80"/>
      <c r="C21" s="80"/>
      <c r="D21" s="49">
        <f t="shared" si="0"/>
        <v>0</v>
      </c>
      <c r="G21" s="12">
        <f t="shared" si="1"/>
        <v>0</v>
      </c>
      <c r="H21" s="12">
        <f t="shared" si="2"/>
        <v>0</v>
      </c>
      <c r="I21" s="12">
        <f t="shared" si="3"/>
        <v>0</v>
      </c>
      <c r="J21" s="12">
        <f t="shared" si="4"/>
        <v>0</v>
      </c>
    </row>
    <row r="22" spans="1:10" hidden="1" x14ac:dyDescent="0.35">
      <c r="A22" s="80"/>
      <c r="B22" s="80"/>
      <c r="C22" s="80"/>
      <c r="D22" s="49">
        <f t="shared" si="0"/>
        <v>0</v>
      </c>
      <c r="G22" s="12">
        <f t="shared" si="1"/>
        <v>0</v>
      </c>
      <c r="H22" s="12">
        <f t="shared" si="2"/>
        <v>0</v>
      </c>
      <c r="I22" s="12">
        <f t="shared" si="3"/>
        <v>0</v>
      </c>
      <c r="J22" s="12">
        <f t="shared" si="4"/>
        <v>0</v>
      </c>
    </row>
    <row r="23" spans="1:10" hidden="1" x14ac:dyDescent="0.35">
      <c r="A23" s="80"/>
      <c r="B23" s="80"/>
      <c r="C23" s="80"/>
      <c r="D23" s="49">
        <f t="shared" si="0"/>
        <v>0</v>
      </c>
      <c r="G23" s="12">
        <f t="shared" si="1"/>
        <v>0</v>
      </c>
      <c r="H23" s="12">
        <f t="shared" si="2"/>
        <v>0</v>
      </c>
      <c r="I23" s="12">
        <f t="shared" si="3"/>
        <v>0</v>
      </c>
      <c r="J23" s="12">
        <f t="shared" si="4"/>
        <v>0</v>
      </c>
    </row>
    <row r="24" spans="1:10" hidden="1" x14ac:dyDescent="0.35">
      <c r="A24" s="80"/>
      <c r="B24" s="80"/>
      <c r="C24" s="80"/>
      <c r="D24" s="49">
        <f t="shared" si="0"/>
        <v>0</v>
      </c>
      <c r="G24" s="12">
        <f t="shared" si="1"/>
        <v>0</v>
      </c>
      <c r="H24" s="12">
        <f t="shared" si="2"/>
        <v>0</v>
      </c>
      <c r="I24" s="12">
        <f t="shared" si="3"/>
        <v>0</v>
      </c>
      <c r="J24" s="12">
        <f t="shared" si="4"/>
        <v>0</v>
      </c>
    </row>
    <row r="25" spans="1:10" hidden="1" x14ac:dyDescent="0.35">
      <c r="A25" s="80"/>
      <c r="B25" s="80"/>
      <c r="C25" s="80"/>
      <c r="D25" s="49">
        <f>IF(AND(B25&gt;0,C25&gt;0),SUM(G25:J25),0)</f>
        <v>0</v>
      </c>
      <c r="G25" s="12">
        <f>IF(B25&gt;0,((0.00099625*B25)*($B$2^2)),0)</f>
        <v>0</v>
      </c>
      <c r="H25" s="12">
        <f>IF(C25&gt;0,((0.002333*C25)*($B$3^2)),0)</f>
        <v>0</v>
      </c>
      <c r="I25" s="12">
        <f>IF(B25&gt;0,((0.431083)*($B$2^2)),0)</f>
        <v>0</v>
      </c>
      <c r="J25" s="12">
        <f>IF(C25&gt;0,((0.56382)*($B$3^2)),0)</f>
        <v>0</v>
      </c>
    </row>
    <row r="26" spans="1:10" x14ac:dyDescent="0.35">
      <c r="A26" s="3"/>
    </row>
  </sheetData>
  <sheetProtection algorithmName="SHA-512" hashValue="fDjI3nNOk9GGzDKlXqk0dhtR5nsNXLF3/7xFpwe5+LQfsQ8jIBiZ4Pf+Uir0WSH+0qDsWrvzQzSdlwBnB1Lp0w==" saltValue="x83170vmBKViuOiT9hLRCQ==" spinCount="100000" sheet="1" objects="1" scenarios="1"/>
  <mergeCells count="1">
    <mergeCell ref="A1:C1"/>
  </mergeCells>
  <dataValidations count="4">
    <dataValidation allowBlank="1" showInputMessage="1" showErrorMessage="1" promptTitle="VCO Frequency" prompt="Valid range from 500MHz - 3600MHz" sqref="C6" xr:uid="{A98C10D3-817F-4D92-8082-E06441A0CB80}"/>
    <dataValidation allowBlank="1" showInputMessage="1" showErrorMessage="1" promptTitle="Output Clock Frequency" prompt="Insert the highest value of output clock frequency. If there are 3 PLL output clock frequency (10MHz, 20MHz and 50 MHz), insert 50MHz. Valid range from 0.24MHz - 500MHz" sqref="B6" xr:uid="{CBB82DCA-A568-4CA9-8DE8-173D6F987779}"/>
    <dataValidation type="decimal" allowBlank="1" showInputMessage="1" showErrorMessage="1" error="Valid range from 0.24 - 500 MHz" prompt="Valid range from 0.24 - 500 MHz" sqref="B7:B25" xr:uid="{C78BFCD4-CE0F-49A4-B4E4-DA9FA9BC2577}">
      <formula1>0.24</formula1>
      <formula2>500</formula2>
    </dataValidation>
    <dataValidation type="decimal" allowBlank="1" showInputMessage="1" showErrorMessage="1" error="Valid range from 500 - 3600 MHz" prompt="Valid range from 500 - 3600 MHz" sqref="C7:C25" xr:uid="{736D1586-098C-4DC7-8758-F1A6A3E4DC2A}">
      <formula1>500</formula1>
      <formula2>3600</formula2>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2FC73-7EF5-4D0A-85FA-82D7C68DE3AB}">
  <sheetPr codeName="Sheet8"/>
  <dimension ref="A1:AL36"/>
  <sheetViews>
    <sheetView showGridLines="0" showRowColHeaders="0" zoomScaleNormal="100" workbookViewId="0">
      <selection sqref="A1:C1"/>
    </sheetView>
  </sheetViews>
  <sheetFormatPr defaultColWidth="8.81640625" defaultRowHeight="14.5" x14ac:dyDescent="0.35"/>
  <cols>
    <col min="1" max="1" width="23.26953125" bestFit="1" customWidth="1"/>
    <col min="2" max="3" width="21.26953125" customWidth="1"/>
    <col min="4" max="4" width="18.26953125" customWidth="1"/>
    <col min="5" max="5" width="8.81640625" customWidth="1"/>
    <col min="6" max="6" width="32.7265625" customWidth="1"/>
    <col min="7" max="7" width="12.453125" customWidth="1"/>
    <col min="8" max="8" width="30.26953125" customWidth="1"/>
    <col min="9" max="9" width="22.1796875" hidden="1" customWidth="1"/>
    <col min="10" max="10" width="33.54296875" hidden="1" customWidth="1"/>
    <col min="11" max="11" width="14.453125" hidden="1" customWidth="1"/>
    <col min="12" max="12" width="15" hidden="1" customWidth="1"/>
    <col min="13" max="17" width="15.453125" hidden="1" customWidth="1"/>
    <col min="18" max="18" width="9.1796875" hidden="1" customWidth="1"/>
    <col min="19" max="19" width="15" hidden="1" customWidth="1"/>
    <col min="20" max="20" width="11" hidden="1" customWidth="1"/>
    <col min="21" max="21" width="8.81640625" hidden="1" customWidth="1"/>
    <col min="22" max="22" width="9.1796875" hidden="1" customWidth="1"/>
    <col min="23" max="23" width="14.26953125" hidden="1" customWidth="1"/>
    <col min="24" max="24" width="11.7265625" hidden="1" customWidth="1"/>
    <col min="25" max="25" width="9.1796875" hidden="1" customWidth="1"/>
    <col min="26" max="26" width="14.26953125" hidden="1" customWidth="1"/>
    <col min="27" max="27" width="11" hidden="1" customWidth="1"/>
    <col min="28" max="28" width="8.81640625" hidden="1" customWidth="1"/>
    <col min="29" max="29" width="12.26953125" hidden="1" customWidth="1"/>
    <col min="30" max="30" width="18.54296875" hidden="1" customWidth="1"/>
    <col min="31" max="31" width="14.54296875" hidden="1" customWidth="1"/>
    <col min="32" max="32" width="8.81640625" hidden="1" customWidth="1"/>
    <col min="33" max="33" width="32.81640625" hidden="1" customWidth="1"/>
    <col min="34" max="34" width="47.453125" hidden="1" customWidth="1"/>
    <col min="35" max="35" width="8.81640625" hidden="1" customWidth="1"/>
    <col min="36" max="36" width="12.453125" hidden="1" customWidth="1"/>
    <col min="37" max="37" width="8.81640625" hidden="1" customWidth="1"/>
    <col min="38" max="38" width="12.26953125" hidden="1" customWidth="1"/>
  </cols>
  <sheetData>
    <row r="1" spans="1:38" ht="26" x14ac:dyDescent="0.35">
      <c r="A1" s="209" t="s">
        <v>132</v>
      </c>
      <c r="B1" s="210"/>
      <c r="C1" s="211"/>
      <c r="D1" s="17"/>
      <c r="E1" s="43"/>
      <c r="F1" s="43"/>
      <c r="G1" s="43"/>
      <c r="H1" s="53"/>
    </row>
    <row r="2" spans="1:38" ht="26" x14ac:dyDescent="0.35">
      <c r="A2" s="102" t="s">
        <v>24</v>
      </c>
      <c r="B2" s="103">
        <f>IF(calTotal!E10="No",IF(calTotal!E11="Nominal",1.2,IF(calTotal!E11="Minimum",1.15,IF(calTotal!E11="Maximum",1.25,"Invalid"))),IF(calTotal!E11="Nominal",1.1,IF(calTotal!E11="Minimum",1.05,IF(calTotal!E11="Maximum",1.15,"Invalid"))))</f>
        <v>1.2</v>
      </c>
      <c r="C2" s="109">
        <f>IF(OR(Package="F169",Package="F324",Package="W80"),SUM(AH9:AH26)+SUM(AJ9:AJ26)+SUM(AL9:AL26),0)</f>
        <v>0</v>
      </c>
      <c r="D2" s="1"/>
      <c r="E2" s="43"/>
      <c r="F2" s="43"/>
      <c r="G2" s="43"/>
      <c r="H2" s="53"/>
    </row>
    <row r="3" spans="1:38" ht="21" x14ac:dyDescent="0.5">
      <c r="A3" s="102" t="s">
        <v>56</v>
      </c>
      <c r="B3" s="103">
        <f>IF(calTotal!E10="No",IF(calTotal!E11="Nominal",1.2,IF(calTotal!E11="Minimum",1.15,IF(calTotal!E11="Maximum",1.25,"Invalid"))),IF(calTotal!E11="Nominal",1.1,IF(calTotal!E11="Minimum",1.05,IF(calTotal!E11="Maximum",1.15,"Invalid"))))</f>
        <v>1.2</v>
      </c>
      <c r="C3" s="104">
        <f>IF(OR(Package="F169",Package="F324",Package="W80"),SUM(T9:T26)+SUM(Q9:Q26),0)</f>
        <v>0</v>
      </c>
      <c r="D3" s="1"/>
      <c r="E3" s="45"/>
      <c r="F3" s="45"/>
      <c r="G3" s="45"/>
      <c r="H3" s="54"/>
    </row>
    <row r="4" spans="1:38" ht="21" x14ac:dyDescent="0.5">
      <c r="A4" s="102" t="s">
        <v>58</v>
      </c>
      <c r="B4" s="103">
        <f>IF(calTotal!E10="No",IF(calTotal!E11="Nominal",1.2,IF(calTotal!E11="Minimum",1.15,IF(calTotal!E11="Maximum",1.25,"Invalid"))),IF(calTotal!E11="Nominal",1.1,IF(calTotal!E11="Minimum",1.05,IF(calTotal!E11="Maximum",1.15,"Invalid"))))</f>
        <v>1.2</v>
      </c>
      <c r="C4" s="104">
        <f>IF(OR(Package="F169",Package="F324",Package="W80"),SUM(X9:X26)+SUM(AA9:AA26),0)</f>
        <v>0</v>
      </c>
      <c r="D4" s="1"/>
      <c r="E4" s="45"/>
      <c r="F4" s="45"/>
      <c r="G4" s="45"/>
      <c r="H4" s="54"/>
    </row>
    <row r="5" spans="1:38" ht="21" x14ac:dyDescent="0.5">
      <c r="A5" s="102" t="s">
        <v>60</v>
      </c>
      <c r="B5" s="103">
        <f>IF(calTotal!E11="Nominal",2.5,IF(calTotal!E11="Minimum",2.375,IF(calTotal!E11="Maximum",2.625,"Invalid")))</f>
        <v>2.5</v>
      </c>
      <c r="C5" s="104">
        <f>IF(OR(Package="F169",Package="F324",Package="W80"),SUM(AE9:AE26),0)</f>
        <v>0</v>
      </c>
      <c r="D5" s="1"/>
      <c r="E5" s="45"/>
      <c r="F5" s="45"/>
      <c r="G5" s="45"/>
      <c r="H5" s="54"/>
    </row>
    <row r="6" spans="1:38" ht="15.5" x14ac:dyDescent="0.35">
      <c r="A6" s="1"/>
      <c r="B6" s="1"/>
      <c r="C6" s="1"/>
      <c r="D6" s="1"/>
      <c r="E6" s="1"/>
      <c r="F6" s="1"/>
      <c r="G6" s="1"/>
      <c r="K6" s="212" t="s">
        <v>133</v>
      </c>
      <c r="L6" s="213"/>
      <c r="M6" s="213"/>
      <c r="N6" s="213"/>
      <c r="O6" s="213"/>
      <c r="P6" s="213"/>
      <c r="Q6" s="213"/>
      <c r="R6" s="213"/>
      <c r="S6" s="213"/>
      <c r="T6" s="214"/>
      <c r="V6" s="212" t="s">
        <v>134</v>
      </c>
      <c r="W6" s="213"/>
      <c r="X6" s="213"/>
      <c r="Y6" s="213"/>
      <c r="Z6" s="213"/>
      <c r="AA6" s="214"/>
      <c r="AC6" s="212" t="s">
        <v>60</v>
      </c>
      <c r="AD6" s="213"/>
      <c r="AE6" s="214"/>
    </row>
    <row r="7" spans="1:38" ht="15.5" x14ac:dyDescent="0.35">
      <c r="A7" s="1"/>
      <c r="B7" s="1"/>
      <c r="C7" s="1"/>
      <c r="D7" s="1"/>
      <c r="E7" s="1"/>
      <c r="F7" s="1"/>
      <c r="G7" s="1"/>
      <c r="K7" s="212" t="s">
        <v>135</v>
      </c>
      <c r="L7" s="213"/>
      <c r="M7" s="214"/>
      <c r="N7" s="212" t="s">
        <v>136</v>
      </c>
      <c r="O7" s="213"/>
      <c r="P7" s="214"/>
      <c r="Q7" s="217" t="s">
        <v>137</v>
      </c>
      <c r="R7" s="212" t="s">
        <v>138</v>
      </c>
      <c r="S7" s="213"/>
      <c r="T7" s="214"/>
      <c r="V7" s="215" t="s">
        <v>139</v>
      </c>
      <c r="W7" s="215"/>
      <c r="X7" s="215"/>
      <c r="Y7" s="215" t="s">
        <v>140</v>
      </c>
      <c r="Z7" s="215"/>
      <c r="AA7" s="215"/>
      <c r="AC7" s="215" t="s">
        <v>141</v>
      </c>
      <c r="AD7" s="215"/>
      <c r="AE7" s="215"/>
      <c r="AG7" s="216" t="s">
        <v>142</v>
      </c>
      <c r="AH7" s="216"/>
      <c r="AI7" s="216"/>
      <c r="AJ7" s="216"/>
      <c r="AK7" s="216"/>
      <c r="AL7" s="216"/>
    </row>
    <row r="8" spans="1:38" x14ac:dyDescent="0.35">
      <c r="A8" s="101" t="s">
        <v>83</v>
      </c>
      <c r="B8" s="101" t="s">
        <v>143</v>
      </c>
      <c r="C8" s="101" t="s">
        <v>144</v>
      </c>
      <c r="D8" s="101" t="s">
        <v>145</v>
      </c>
      <c r="E8" s="101" t="s">
        <v>146</v>
      </c>
      <c r="F8" s="101" t="s">
        <v>147</v>
      </c>
      <c r="G8" s="101" t="s">
        <v>88</v>
      </c>
      <c r="H8" s="62"/>
      <c r="I8" s="62" t="s">
        <v>148</v>
      </c>
      <c r="J8" s="62" t="s">
        <v>149</v>
      </c>
      <c r="K8" s="52" t="s">
        <v>150</v>
      </c>
      <c r="L8" s="52" t="s">
        <v>151</v>
      </c>
      <c r="M8" s="52" t="s">
        <v>152</v>
      </c>
      <c r="N8" s="52" t="s">
        <v>150</v>
      </c>
      <c r="O8" s="52" t="s">
        <v>153</v>
      </c>
      <c r="P8" s="52" t="s">
        <v>152</v>
      </c>
      <c r="Q8" s="218"/>
      <c r="R8" s="52" t="s">
        <v>150</v>
      </c>
      <c r="S8" s="52" t="s">
        <v>151</v>
      </c>
      <c r="T8" s="52" t="s">
        <v>152</v>
      </c>
      <c r="U8" s="62"/>
      <c r="V8" s="55" t="s">
        <v>150</v>
      </c>
      <c r="W8" s="55" t="s">
        <v>151</v>
      </c>
      <c r="X8" s="55" t="s">
        <v>152</v>
      </c>
      <c r="Y8" s="55" t="s">
        <v>150</v>
      </c>
      <c r="Z8" s="55" t="s">
        <v>151</v>
      </c>
      <c r="AA8" s="55" t="s">
        <v>152</v>
      </c>
      <c r="AC8" s="55" t="s">
        <v>150</v>
      </c>
      <c r="AD8" s="55" t="s">
        <v>151</v>
      </c>
      <c r="AE8" s="55" t="s">
        <v>152</v>
      </c>
      <c r="AG8" s="52" t="s">
        <v>154</v>
      </c>
      <c r="AH8" s="55" t="s">
        <v>155</v>
      </c>
      <c r="AI8" s="55" t="s">
        <v>156</v>
      </c>
      <c r="AJ8" s="55" t="s">
        <v>157</v>
      </c>
      <c r="AK8" s="55" t="s">
        <v>158</v>
      </c>
      <c r="AL8" s="55" t="s">
        <v>159</v>
      </c>
    </row>
    <row r="9" spans="1:38" x14ac:dyDescent="0.35">
      <c r="A9" s="88"/>
      <c r="B9" s="75"/>
      <c r="C9" s="75" t="s">
        <v>282</v>
      </c>
      <c r="D9" s="80">
        <v>1500</v>
      </c>
      <c r="E9" s="128">
        <v>0.125</v>
      </c>
      <c r="F9" s="128">
        <v>0.125</v>
      </c>
      <c r="G9" s="49">
        <f>SUM(Q9+T9+X9+AA9+AE9+AH9+AJ9+AL9)</f>
        <v>0</v>
      </c>
      <c r="H9" s="56"/>
      <c r="I9" s="61">
        <f>D9/2</f>
        <v>750</v>
      </c>
      <c r="J9" s="133">
        <f>1-F9</f>
        <v>0.875</v>
      </c>
      <c r="K9" s="51">
        <f>(7.517)*($B$3^2)</f>
        <v>10.824479999999999</v>
      </c>
      <c r="L9" s="57">
        <f>((0.0033664)*($B$3^2)*I9)*(E9)</f>
        <v>0.45446399999999998</v>
      </c>
      <c r="M9" s="57">
        <f>IF(C9="RX",0,IF(B9=0,0,((K9+L9)*(F9)*B9)))</f>
        <v>0</v>
      </c>
      <c r="N9" s="51">
        <f>(4.3394)*($B$3^2)</f>
        <v>6.2487360000000001</v>
      </c>
      <c r="O9" s="57">
        <f>((0.00284492)*($B$3^2)*I9)*(E9)</f>
        <v>0.38406420000000002</v>
      </c>
      <c r="P9" s="57">
        <f>IF(C9="RX",0,IF(B9=0,0,((N9+O9)*(F9)*B9)))</f>
        <v>0</v>
      </c>
      <c r="Q9" s="57">
        <f>M9+P9</f>
        <v>0</v>
      </c>
      <c r="R9" s="51">
        <f>(0.583)*($B$3^2)</f>
        <v>0.83951999999999993</v>
      </c>
      <c r="S9" s="51">
        <v>0</v>
      </c>
      <c r="T9" s="51">
        <f>IF(C9="RX",0,IF(B9=0,0,((R9+S9)*(J9))*B9))</f>
        <v>0</v>
      </c>
      <c r="V9" s="47">
        <f t="shared" ref="V9:V26" si="0">(0.609)*($B$4^2)</f>
        <v>0.87695999999999996</v>
      </c>
      <c r="W9" s="47">
        <f>((0.001483)*($B$4^2)*I9)*(E9)</f>
        <v>0.20020499999999997</v>
      </c>
      <c r="X9" s="47">
        <f>IF(OR(C9="RX",C9="TX&amp;RX"),IF(B9=0,0,((V9+W9)*(F9))*B9),0)</f>
        <v>0</v>
      </c>
      <c r="Y9" s="47">
        <f t="shared" ref="Y9:Y26" si="1">(0.583)*($B$4^2)</f>
        <v>0.83951999999999993</v>
      </c>
      <c r="Z9" s="47">
        <v>0</v>
      </c>
      <c r="AA9" s="47">
        <f>IF(OR(C9="RX",C9="TX&amp;RX"),IF(B9=0,0,((Y9+Z9)*(J9))*B9),0)</f>
        <v>0</v>
      </c>
      <c r="AC9" s="51">
        <f>IF(OR(C9="RX",C9="TX&amp;RX"),(3.54)*($B$5^2),0)</f>
        <v>0</v>
      </c>
      <c r="AD9" s="51">
        <v>0</v>
      </c>
      <c r="AE9" s="51">
        <f>IF(B9=0,0,((AC9+AD9)*(F9))*B9)</f>
        <v>0</v>
      </c>
      <c r="AG9" s="51">
        <f t="shared" ref="AG9:AG26" si="2">IF(B9=0,0,((11.78794/(1.1^2))*($B$2^2)))</f>
        <v>0</v>
      </c>
      <c r="AH9" s="51">
        <f>IF(B9=0,0,((((AG9/0.2)+((1.16706/(1.1^2))*(1.2^2)))*(E9))*(I9/750))*B9)</f>
        <v>0</v>
      </c>
      <c r="AI9" s="51">
        <f>IF(B9=0,0,(IF(OR(C9="RX",C9="TX&amp;RX"),((6/1.1)*($B$2^2))*(I9/750),0))*B9)</f>
        <v>0</v>
      </c>
      <c r="AJ9" s="51">
        <f>AI9*(E9)</f>
        <v>0</v>
      </c>
      <c r="AK9" s="51">
        <f>IF(B9=0,0,(IF(C9="RX",0,((3/1.1)*($B$2^2))*(I9/750)))*B9)</f>
        <v>0</v>
      </c>
      <c r="AL9" s="51">
        <f>AK9*(E9)</f>
        <v>0</v>
      </c>
    </row>
    <row r="10" spans="1:38" x14ac:dyDescent="0.35">
      <c r="A10" s="88"/>
      <c r="B10" s="75"/>
      <c r="C10" s="75" t="s">
        <v>282</v>
      </c>
      <c r="D10" s="80">
        <v>1500</v>
      </c>
      <c r="E10" s="128">
        <v>0.125</v>
      </c>
      <c r="F10" s="128">
        <v>0.125</v>
      </c>
      <c r="G10" s="49">
        <f>SUM(Q10+T10+X10+AA10+AE10+AH10+AJ10+AL10)</f>
        <v>0</v>
      </c>
      <c r="H10" s="56"/>
      <c r="I10" s="61">
        <f t="shared" ref="I10:I26" si="3">D10/2</f>
        <v>750</v>
      </c>
      <c r="J10" s="133">
        <f t="shared" ref="J10:J26" si="4">1-F10</f>
        <v>0.875</v>
      </c>
      <c r="K10" s="51">
        <f t="shared" ref="K10:K26" si="5">(7.517)*($B$3^2)</f>
        <v>10.824479999999999</v>
      </c>
      <c r="L10" s="57">
        <f t="shared" ref="L10:L26" si="6">((0.0033664)*($B$3^2)*I10)*(E10)</f>
        <v>0.45446399999999998</v>
      </c>
      <c r="M10" s="57">
        <f t="shared" ref="M10:M26" si="7">IF(C10="RX",0,IF(B10=0,0,((K10+L10)*(F10)*B10)))</f>
        <v>0</v>
      </c>
      <c r="N10" s="51">
        <f t="shared" ref="N10:N26" si="8">(4.3394)*($B$3^2)</f>
        <v>6.2487360000000001</v>
      </c>
      <c r="O10" s="57">
        <f t="shared" ref="O10:O26" si="9">((0.00284492)*($B$3^2)*I10)*(E10)</f>
        <v>0.38406420000000002</v>
      </c>
      <c r="P10" s="57">
        <f t="shared" ref="P10:P26" si="10">IF(C10="RX",0,IF(B10=0,0,((N10+O10)*(F10)*B10)))</f>
        <v>0</v>
      </c>
      <c r="Q10" s="57">
        <f t="shared" ref="Q10:Q26" si="11">M10+P10</f>
        <v>0</v>
      </c>
      <c r="R10" s="51">
        <f t="shared" ref="R10:R26" si="12">(0.583)*($B$3^2)</f>
        <v>0.83951999999999993</v>
      </c>
      <c r="S10" s="51">
        <v>0</v>
      </c>
      <c r="T10" s="51">
        <f t="shared" ref="T10:T26" si="13">IF(C10="RX",0,IF(B10=0,0,((R10+S10)*(J10))*B10))</f>
        <v>0</v>
      </c>
      <c r="V10" s="47">
        <f t="shared" si="0"/>
        <v>0.87695999999999996</v>
      </c>
      <c r="W10" s="47">
        <f t="shared" ref="W10:W26" si="14">((0.001483)*($B$4^2)*I10)*(E10)</f>
        <v>0.20020499999999997</v>
      </c>
      <c r="X10" s="47">
        <f t="shared" ref="X10:X26" si="15">IF(OR(C10="RX",C10="TX&amp;RX"),IF(B10=0,0,((V10+W10)*(F10))*B10),0)</f>
        <v>0</v>
      </c>
      <c r="Y10" s="47">
        <f t="shared" si="1"/>
        <v>0.83951999999999993</v>
      </c>
      <c r="Z10" s="47">
        <v>0</v>
      </c>
      <c r="AA10" s="47">
        <f t="shared" ref="AA10:AA26" si="16">IF(OR(C10="RX",C10="TX&amp;RX"),IF(B10=0,0,((Y10+Z10)*(J10))*B10),0)</f>
        <v>0</v>
      </c>
      <c r="AC10" s="51">
        <f t="shared" ref="AC10:AC26" si="17">IF(OR(C10="RX",C10="TX&amp;RX"),(3.54)*($B$5^2),0)</f>
        <v>0</v>
      </c>
      <c r="AD10" s="51">
        <v>0</v>
      </c>
      <c r="AE10" s="51">
        <f t="shared" ref="AE10:AE26" si="18">IF(B10=0,0,((AC10+AD10)*(F10))*B10)</f>
        <v>0</v>
      </c>
      <c r="AG10" s="51">
        <f t="shared" si="2"/>
        <v>0</v>
      </c>
      <c r="AH10" s="51">
        <f t="shared" ref="AH10:AH26" si="19">IF(B10=0,0,((((AG10/0.2)+((1.16706/(1.1^2))*(1.2^2)))*(E10))*(I10/750))*B10)</f>
        <v>0</v>
      </c>
      <c r="AI10" s="51">
        <f t="shared" ref="AI10:AI26" si="20">IF(B10=0,0,(IF(OR(C10="RX",C10="TX&amp;RX"),((6/1.1)*($B$2^2))*(I10/750),0))*B10)</f>
        <v>0</v>
      </c>
      <c r="AJ10" s="51">
        <f t="shared" ref="AJ10:AJ26" si="21">AI10*(E10)</f>
        <v>0</v>
      </c>
      <c r="AK10" s="51">
        <f t="shared" ref="AK10:AK26" si="22">IF(B10=0,0,(IF(C10="RX",0,((3/1.1)*($B$2^2))*(I10/750)))*B10)</f>
        <v>0</v>
      </c>
      <c r="AL10" s="51">
        <f t="shared" ref="AL10:AL26" si="23">AK10*(E10)</f>
        <v>0</v>
      </c>
    </row>
    <row r="11" spans="1:38" x14ac:dyDescent="0.35">
      <c r="A11" s="88"/>
      <c r="B11" s="75"/>
      <c r="C11" s="80" t="s">
        <v>282</v>
      </c>
      <c r="D11" s="80">
        <v>1500</v>
      </c>
      <c r="E11" s="128">
        <v>0.125</v>
      </c>
      <c r="F11" s="128">
        <v>0.125</v>
      </c>
      <c r="G11" s="49">
        <f>SUM(Q11+T11+X11+AA11+AE11+AH11+AJ11+AL11)</f>
        <v>0</v>
      </c>
      <c r="H11" s="56"/>
      <c r="I11" s="61">
        <f t="shared" si="3"/>
        <v>750</v>
      </c>
      <c r="J11" s="133">
        <f t="shared" si="4"/>
        <v>0.875</v>
      </c>
      <c r="K11" s="51">
        <f t="shared" si="5"/>
        <v>10.824479999999999</v>
      </c>
      <c r="L11" s="57">
        <f t="shared" si="6"/>
        <v>0.45446399999999998</v>
      </c>
      <c r="M11" s="57">
        <f t="shared" si="7"/>
        <v>0</v>
      </c>
      <c r="N11" s="51">
        <f t="shared" si="8"/>
        <v>6.2487360000000001</v>
      </c>
      <c r="O11" s="57">
        <f t="shared" si="9"/>
        <v>0.38406420000000002</v>
      </c>
      <c r="P11" s="57">
        <f t="shared" si="10"/>
        <v>0</v>
      </c>
      <c r="Q11" s="57">
        <f t="shared" si="11"/>
        <v>0</v>
      </c>
      <c r="R11" s="51">
        <f t="shared" si="12"/>
        <v>0.83951999999999993</v>
      </c>
      <c r="S11" s="51">
        <v>0</v>
      </c>
      <c r="T11" s="51">
        <f t="shared" si="13"/>
        <v>0</v>
      </c>
      <c r="V11" s="47">
        <f t="shared" si="0"/>
        <v>0.87695999999999996</v>
      </c>
      <c r="W11" s="47">
        <f t="shared" si="14"/>
        <v>0.20020499999999997</v>
      </c>
      <c r="X11" s="47">
        <f t="shared" si="15"/>
        <v>0</v>
      </c>
      <c r="Y11" s="47">
        <f t="shared" si="1"/>
        <v>0.83951999999999993</v>
      </c>
      <c r="Z11" s="47">
        <v>0</v>
      </c>
      <c r="AA11" s="47">
        <f t="shared" si="16"/>
        <v>0</v>
      </c>
      <c r="AC11" s="51">
        <f t="shared" si="17"/>
        <v>0</v>
      </c>
      <c r="AD11" s="51">
        <v>0</v>
      </c>
      <c r="AE11" s="51">
        <f t="shared" si="18"/>
        <v>0</v>
      </c>
      <c r="AG11" s="51">
        <f t="shared" si="2"/>
        <v>0</v>
      </c>
      <c r="AH11" s="51">
        <f t="shared" si="19"/>
        <v>0</v>
      </c>
      <c r="AI11" s="51">
        <f t="shared" si="20"/>
        <v>0</v>
      </c>
      <c r="AJ11" s="51">
        <f t="shared" si="21"/>
        <v>0</v>
      </c>
      <c r="AK11" s="51">
        <f t="shared" si="22"/>
        <v>0</v>
      </c>
      <c r="AL11" s="51">
        <f t="shared" si="23"/>
        <v>0</v>
      </c>
    </row>
    <row r="12" spans="1:38" x14ac:dyDescent="0.35">
      <c r="A12" s="88"/>
      <c r="B12" s="75"/>
      <c r="C12" s="80" t="s">
        <v>282</v>
      </c>
      <c r="D12" s="80">
        <v>1500</v>
      </c>
      <c r="E12" s="128">
        <v>0.125</v>
      </c>
      <c r="F12" s="128">
        <v>0.125</v>
      </c>
      <c r="G12" s="49">
        <f t="shared" ref="G12:G26" si="24">SUM(Q12+T12+X12+AA12+AE12+AH12+AJ12+AL12)</f>
        <v>0</v>
      </c>
      <c r="H12" s="56"/>
      <c r="I12" s="61">
        <f t="shared" si="3"/>
        <v>750</v>
      </c>
      <c r="J12" s="133">
        <f t="shared" si="4"/>
        <v>0.875</v>
      </c>
      <c r="K12" s="51">
        <f t="shared" si="5"/>
        <v>10.824479999999999</v>
      </c>
      <c r="L12" s="57">
        <f t="shared" si="6"/>
        <v>0.45446399999999998</v>
      </c>
      <c r="M12" s="57">
        <f t="shared" si="7"/>
        <v>0</v>
      </c>
      <c r="N12" s="51">
        <f t="shared" si="8"/>
        <v>6.2487360000000001</v>
      </c>
      <c r="O12" s="57">
        <f t="shared" si="9"/>
        <v>0.38406420000000002</v>
      </c>
      <c r="P12" s="57">
        <f t="shared" si="10"/>
        <v>0</v>
      </c>
      <c r="Q12" s="57">
        <f t="shared" si="11"/>
        <v>0</v>
      </c>
      <c r="R12" s="51">
        <f t="shared" si="12"/>
        <v>0.83951999999999993</v>
      </c>
      <c r="S12" s="51">
        <v>0</v>
      </c>
      <c r="T12" s="51">
        <f t="shared" si="13"/>
        <v>0</v>
      </c>
      <c r="V12" s="47">
        <f t="shared" si="0"/>
        <v>0.87695999999999996</v>
      </c>
      <c r="W12" s="47">
        <f t="shared" si="14"/>
        <v>0.20020499999999997</v>
      </c>
      <c r="X12" s="47">
        <f t="shared" si="15"/>
        <v>0</v>
      </c>
      <c r="Y12" s="47">
        <f t="shared" si="1"/>
        <v>0.83951999999999993</v>
      </c>
      <c r="Z12" s="47">
        <v>0</v>
      </c>
      <c r="AA12" s="47">
        <f t="shared" si="16"/>
        <v>0</v>
      </c>
      <c r="AC12" s="51">
        <f t="shared" si="17"/>
        <v>0</v>
      </c>
      <c r="AD12" s="51">
        <v>0</v>
      </c>
      <c r="AE12" s="51">
        <f t="shared" si="18"/>
        <v>0</v>
      </c>
      <c r="AG12" s="51">
        <f t="shared" si="2"/>
        <v>0</v>
      </c>
      <c r="AH12" s="51">
        <f t="shared" si="19"/>
        <v>0</v>
      </c>
      <c r="AI12" s="51">
        <f t="shared" si="20"/>
        <v>0</v>
      </c>
      <c r="AJ12" s="51">
        <f t="shared" si="21"/>
        <v>0</v>
      </c>
      <c r="AK12" s="51">
        <f t="shared" si="22"/>
        <v>0</v>
      </c>
      <c r="AL12" s="51">
        <f t="shared" si="23"/>
        <v>0</v>
      </c>
    </row>
    <row r="13" spans="1:38" x14ac:dyDescent="0.35">
      <c r="A13" s="88"/>
      <c r="B13" s="75"/>
      <c r="C13" s="80" t="s">
        <v>282</v>
      </c>
      <c r="D13" s="80">
        <v>1500</v>
      </c>
      <c r="E13" s="128">
        <v>0.125</v>
      </c>
      <c r="F13" s="128">
        <v>0.125</v>
      </c>
      <c r="G13" s="49">
        <f t="shared" si="24"/>
        <v>0</v>
      </c>
      <c r="H13" s="56"/>
      <c r="I13" s="61">
        <f t="shared" si="3"/>
        <v>750</v>
      </c>
      <c r="J13" s="133">
        <f t="shared" si="4"/>
        <v>0.875</v>
      </c>
      <c r="K13" s="51">
        <f t="shared" si="5"/>
        <v>10.824479999999999</v>
      </c>
      <c r="L13" s="57">
        <f t="shared" si="6"/>
        <v>0.45446399999999998</v>
      </c>
      <c r="M13" s="57">
        <f t="shared" si="7"/>
        <v>0</v>
      </c>
      <c r="N13" s="51">
        <f t="shared" si="8"/>
        <v>6.2487360000000001</v>
      </c>
      <c r="O13" s="57">
        <f t="shared" si="9"/>
        <v>0.38406420000000002</v>
      </c>
      <c r="P13" s="57">
        <f t="shared" si="10"/>
        <v>0</v>
      </c>
      <c r="Q13" s="57">
        <f t="shared" si="11"/>
        <v>0</v>
      </c>
      <c r="R13" s="51">
        <f t="shared" si="12"/>
        <v>0.83951999999999993</v>
      </c>
      <c r="S13" s="51">
        <v>0</v>
      </c>
      <c r="T13" s="51">
        <f t="shared" si="13"/>
        <v>0</v>
      </c>
      <c r="V13" s="47">
        <f t="shared" si="0"/>
        <v>0.87695999999999996</v>
      </c>
      <c r="W13" s="47">
        <f t="shared" si="14"/>
        <v>0.20020499999999997</v>
      </c>
      <c r="X13" s="47">
        <f t="shared" si="15"/>
        <v>0</v>
      </c>
      <c r="Y13" s="47">
        <f t="shared" si="1"/>
        <v>0.83951999999999993</v>
      </c>
      <c r="Z13" s="47">
        <v>0</v>
      </c>
      <c r="AA13" s="47">
        <f t="shared" si="16"/>
        <v>0</v>
      </c>
      <c r="AC13" s="51">
        <f t="shared" si="17"/>
        <v>0</v>
      </c>
      <c r="AD13" s="51">
        <v>0</v>
      </c>
      <c r="AE13" s="51">
        <f t="shared" si="18"/>
        <v>0</v>
      </c>
      <c r="AG13" s="51">
        <f t="shared" si="2"/>
        <v>0</v>
      </c>
      <c r="AH13" s="51">
        <f t="shared" si="19"/>
        <v>0</v>
      </c>
      <c r="AI13" s="51">
        <f t="shared" si="20"/>
        <v>0</v>
      </c>
      <c r="AJ13" s="51">
        <f t="shared" si="21"/>
        <v>0</v>
      </c>
      <c r="AK13" s="51">
        <f t="shared" si="22"/>
        <v>0</v>
      </c>
      <c r="AL13" s="51">
        <f t="shared" si="23"/>
        <v>0</v>
      </c>
    </row>
    <row r="14" spans="1:38" x14ac:dyDescent="0.35">
      <c r="A14" s="88"/>
      <c r="B14" s="75"/>
      <c r="C14" s="80" t="s">
        <v>282</v>
      </c>
      <c r="D14" s="80">
        <v>1500</v>
      </c>
      <c r="E14" s="128">
        <v>0.125</v>
      </c>
      <c r="F14" s="128">
        <v>0.125</v>
      </c>
      <c r="G14" s="49">
        <f t="shared" si="24"/>
        <v>0</v>
      </c>
      <c r="H14" s="56"/>
      <c r="I14" s="61">
        <f t="shared" si="3"/>
        <v>750</v>
      </c>
      <c r="J14" s="133">
        <f t="shared" si="4"/>
        <v>0.875</v>
      </c>
      <c r="K14" s="51">
        <f t="shared" si="5"/>
        <v>10.824479999999999</v>
      </c>
      <c r="L14" s="57">
        <f t="shared" si="6"/>
        <v>0.45446399999999998</v>
      </c>
      <c r="M14" s="57">
        <f t="shared" si="7"/>
        <v>0</v>
      </c>
      <c r="N14" s="51">
        <f t="shared" si="8"/>
        <v>6.2487360000000001</v>
      </c>
      <c r="O14" s="57">
        <f t="shared" si="9"/>
        <v>0.38406420000000002</v>
      </c>
      <c r="P14" s="57">
        <f t="shared" si="10"/>
        <v>0</v>
      </c>
      <c r="Q14" s="57">
        <f t="shared" si="11"/>
        <v>0</v>
      </c>
      <c r="R14" s="51">
        <f t="shared" si="12"/>
        <v>0.83951999999999993</v>
      </c>
      <c r="S14" s="51">
        <v>0</v>
      </c>
      <c r="T14" s="51">
        <f t="shared" si="13"/>
        <v>0</v>
      </c>
      <c r="V14" s="47">
        <f t="shared" si="0"/>
        <v>0.87695999999999996</v>
      </c>
      <c r="W14" s="47">
        <f t="shared" si="14"/>
        <v>0.20020499999999997</v>
      </c>
      <c r="X14" s="47">
        <f t="shared" si="15"/>
        <v>0</v>
      </c>
      <c r="Y14" s="47">
        <f t="shared" si="1"/>
        <v>0.83951999999999993</v>
      </c>
      <c r="Z14" s="47">
        <v>0</v>
      </c>
      <c r="AA14" s="47">
        <f t="shared" si="16"/>
        <v>0</v>
      </c>
      <c r="AC14" s="51">
        <f t="shared" si="17"/>
        <v>0</v>
      </c>
      <c r="AD14" s="51">
        <v>0</v>
      </c>
      <c r="AE14" s="51">
        <f t="shared" si="18"/>
        <v>0</v>
      </c>
      <c r="AG14" s="51">
        <f t="shared" si="2"/>
        <v>0</v>
      </c>
      <c r="AH14" s="51">
        <f t="shared" si="19"/>
        <v>0</v>
      </c>
      <c r="AI14" s="51">
        <f t="shared" si="20"/>
        <v>0</v>
      </c>
      <c r="AJ14" s="51">
        <f t="shared" si="21"/>
        <v>0</v>
      </c>
      <c r="AK14" s="51">
        <f t="shared" si="22"/>
        <v>0</v>
      </c>
      <c r="AL14" s="51">
        <f t="shared" si="23"/>
        <v>0</v>
      </c>
    </row>
    <row r="15" spans="1:38" hidden="1" x14ac:dyDescent="0.35">
      <c r="A15" s="88"/>
      <c r="B15" s="75"/>
      <c r="C15" s="80" t="s">
        <v>162</v>
      </c>
      <c r="D15" s="80">
        <v>1500</v>
      </c>
      <c r="E15" s="128">
        <v>0.125</v>
      </c>
      <c r="F15" s="128">
        <v>0.125</v>
      </c>
      <c r="G15" s="49">
        <f t="shared" si="24"/>
        <v>0</v>
      </c>
      <c r="H15" s="56"/>
      <c r="I15" s="61">
        <f t="shared" si="3"/>
        <v>750</v>
      </c>
      <c r="J15" s="133">
        <f t="shared" si="4"/>
        <v>0.875</v>
      </c>
      <c r="K15" s="51">
        <f t="shared" si="5"/>
        <v>10.824479999999999</v>
      </c>
      <c r="L15" s="57">
        <f t="shared" si="6"/>
        <v>0.45446399999999998</v>
      </c>
      <c r="M15" s="57">
        <f t="shared" si="7"/>
        <v>0</v>
      </c>
      <c r="N15" s="51">
        <f t="shared" si="8"/>
        <v>6.2487360000000001</v>
      </c>
      <c r="O15" s="57">
        <f t="shared" si="9"/>
        <v>0.38406420000000002</v>
      </c>
      <c r="P15" s="57">
        <f t="shared" si="10"/>
        <v>0</v>
      </c>
      <c r="Q15" s="57">
        <f t="shared" si="11"/>
        <v>0</v>
      </c>
      <c r="R15" s="51">
        <f t="shared" si="12"/>
        <v>0.83951999999999993</v>
      </c>
      <c r="S15" s="51">
        <v>0</v>
      </c>
      <c r="T15" s="51">
        <f t="shared" si="13"/>
        <v>0</v>
      </c>
      <c r="V15" s="47">
        <f t="shared" si="0"/>
        <v>0.87695999999999996</v>
      </c>
      <c r="W15" s="47">
        <f t="shared" si="14"/>
        <v>0.20020499999999997</v>
      </c>
      <c r="X15" s="47">
        <f t="shared" si="15"/>
        <v>0</v>
      </c>
      <c r="Y15" s="47">
        <f t="shared" si="1"/>
        <v>0.83951999999999993</v>
      </c>
      <c r="Z15" s="47">
        <v>0</v>
      </c>
      <c r="AA15" s="47">
        <f t="shared" si="16"/>
        <v>0</v>
      </c>
      <c r="AC15" s="51">
        <f t="shared" si="17"/>
        <v>0</v>
      </c>
      <c r="AD15" s="51">
        <v>0</v>
      </c>
      <c r="AE15" s="51">
        <f t="shared" si="18"/>
        <v>0</v>
      </c>
      <c r="AG15" s="51">
        <f t="shared" si="2"/>
        <v>0</v>
      </c>
      <c r="AH15" s="51">
        <f t="shared" si="19"/>
        <v>0</v>
      </c>
      <c r="AI15" s="51">
        <f t="shared" si="20"/>
        <v>0</v>
      </c>
      <c r="AJ15" s="51">
        <f t="shared" si="21"/>
        <v>0</v>
      </c>
      <c r="AK15" s="51">
        <f t="shared" si="22"/>
        <v>0</v>
      </c>
      <c r="AL15" s="51">
        <f t="shared" si="23"/>
        <v>0</v>
      </c>
    </row>
    <row r="16" spans="1:38" hidden="1" x14ac:dyDescent="0.35">
      <c r="A16" s="88"/>
      <c r="B16" s="75"/>
      <c r="C16" s="80" t="s">
        <v>162</v>
      </c>
      <c r="D16" s="80">
        <v>1500</v>
      </c>
      <c r="E16" s="128">
        <v>0.125</v>
      </c>
      <c r="F16" s="128">
        <v>0.125</v>
      </c>
      <c r="G16" s="49">
        <f t="shared" si="24"/>
        <v>0</v>
      </c>
      <c r="H16" s="56"/>
      <c r="I16" s="61">
        <f t="shared" si="3"/>
        <v>750</v>
      </c>
      <c r="J16" s="133">
        <f t="shared" si="4"/>
        <v>0.875</v>
      </c>
      <c r="K16" s="51">
        <f t="shared" si="5"/>
        <v>10.824479999999999</v>
      </c>
      <c r="L16" s="57">
        <f t="shared" si="6"/>
        <v>0.45446399999999998</v>
      </c>
      <c r="M16" s="57">
        <f t="shared" si="7"/>
        <v>0</v>
      </c>
      <c r="N16" s="51">
        <f t="shared" si="8"/>
        <v>6.2487360000000001</v>
      </c>
      <c r="O16" s="57">
        <f t="shared" si="9"/>
        <v>0.38406420000000002</v>
      </c>
      <c r="P16" s="57">
        <f t="shared" si="10"/>
        <v>0</v>
      </c>
      <c r="Q16" s="57">
        <f t="shared" si="11"/>
        <v>0</v>
      </c>
      <c r="R16" s="51">
        <f t="shared" si="12"/>
        <v>0.83951999999999993</v>
      </c>
      <c r="S16" s="51">
        <v>0</v>
      </c>
      <c r="T16" s="51">
        <f t="shared" si="13"/>
        <v>0</v>
      </c>
      <c r="V16" s="47">
        <f t="shared" si="0"/>
        <v>0.87695999999999996</v>
      </c>
      <c r="W16" s="47">
        <f t="shared" si="14"/>
        <v>0.20020499999999997</v>
      </c>
      <c r="X16" s="47">
        <f t="shared" si="15"/>
        <v>0</v>
      </c>
      <c r="Y16" s="47">
        <f t="shared" si="1"/>
        <v>0.83951999999999993</v>
      </c>
      <c r="Z16" s="47">
        <v>0</v>
      </c>
      <c r="AA16" s="47">
        <f t="shared" si="16"/>
        <v>0</v>
      </c>
      <c r="AC16" s="51">
        <f t="shared" si="17"/>
        <v>0</v>
      </c>
      <c r="AD16" s="51">
        <v>0</v>
      </c>
      <c r="AE16" s="51">
        <f t="shared" si="18"/>
        <v>0</v>
      </c>
      <c r="AG16" s="51">
        <f t="shared" si="2"/>
        <v>0</v>
      </c>
      <c r="AH16" s="51">
        <f t="shared" si="19"/>
        <v>0</v>
      </c>
      <c r="AI16" s="51">
        <f t="shared" si="20"/>
        <v>0</v>
      </c>
      <c r="AJ16" s="51">
        <f t="shared" si="21"/>
        <v>0</v>
      </c>
      <c r="AK16" s="51">
        <f t="shared" si="22"/>
        <v>0</v>
      </c>
      <c r="AL16" s="51">
        <f t="shared" si="23"/>
        <v>0</v>
      </c>
    </row>
    <row r="17" spans="1:38" hidden="1" x14ac:dyDescent="0.35">
      <c r="A17" s="88"/>
      <c r="B17" s="75"/>
      <c r="C17" s="80" t="s">
        <v>162</v>
      </c>
      <c r="D17" s="80">
        <v>1500</v>
      </c>
      <c r="E17" s="128">
        <v>0.125</v>
      </c>
      <c r="F17" s="128">
        <v>0.125</v>
      </c>
      <c r="G17" s="49">
        <f t="shared" si="24"/>
        <v>0</v>
      </c>
      <c r="H17" s="56"/>
      <c r="I17" s="61">
        <f t="shared" si="3"/>
        <v>750</v>
      </c>
      <c r="J17" s="133">
        <f t="shared" si="4"/>
        <v>0.875</v>
      </c>
      <c r="K17" s="51">
        <f t="shared" si="5"/>
        <v>10.824479999999999</v>
      </c>
      <c r="L17" s="57">
        <f t="shared" si="6"/>
        <v>0.45446399999999998</v>
      </c>
      <c r="M17" s="57">
        <f t="shared" si="7"/>
        <v>0</v>
      </c>
      <c r="N17" s="51">
        <f t="shared" si="8"/>
        <v>6.2487360000000001</v>
      </c>
      <c r="O17" s="57">
        <f t="shared" si="9"/>
        <v>0.38406420000000002</v>
      </c>
      <c r="P17" s="57">
        <f t="shared" si="10"/>
        <v>0</v>
      </c>
      <c r="Q17" s="57">
        <f t="shared" si="11"/>
        <v>0</v>
      </c>
      <c r="R17" s="51">
        <f t="shared" si="12"/>
        <v>0.83951999999999993</v>
      </c>
      <c r="S17" s="51">
        <v>0</v>
      </c>
      <c r="T17" s="51">
        <f t="shared" si="13"/>
        <v>0</v>
      </c>
      <c r="V17" s="47">
        <f t="shared" si="0"/>
        <v>0.87695999999999996</v>
      </c>
      <c r="W17" s="47">
        <f t="shared" si="14"/>
        <v>0.20020499999999997</v>
      </c>
      <c r="X17" s="47">
        <f t="shared" si="15"/>
        <v>0</v>
      </c>
      <c r="Y17" s="47">
        <f t="shared" si="1"/>
        <v>0.83951999999999993</v>
      </c>
      <c r="Z17" s="47">
        <v>0</v>
      </c>
      <c r="AA17" s="47">
        <f t="shared" si="16"/>
        <v>0</v>
      </c>
      <c r="AC17" s="51">
        <f t="shared" si="17"/>
        <v>0</v>
      </c>
      <c r="AD17" s="51">
        <v>0</v>
      </c>
      <c r="AE17" s="51">
        <f t="shared" si="18"/>
        <v>0</v>
      </c>
      <c r="AG17" s="51">
        <f t="shared" si="2"/>
        <v>0</v>
      </c>
      <c r="AH17" s="51">
        <f t="shared" si="19"/>
        <v>0</v>
      </c>
      <c r="AI17" s="51">
        <f t="shared" si="20"/>
        <v>0</v>
      </c>
      <c r="AJ17" s="51">
        <f t="shared" si="21"/>
        <v>0</v>
      </c>
      <c r="AK17" s="51">
        <f t="shared" si="22"/>
        <v>0</v>
      </c>
      <c r="AL17" s="51">
        <f t="shared" si="23"/>
        <v>0</v>
      </c>
    </row>
    <row r="18" spans="1:38" hidden="1" x14ac:dyDescent="0.35">
      <c r="A18" s="88"/>
      <c r="B18" s="75"/>
      <c r="C18" s="80" t="s">
        <v>162</v>
      </c>
      <c r="D18" s="80">
        <v>1500</v>
      </c>
      <c r="E18" s="128">
        <v>0.125</v>
      </c>
      <c r="F18" s="128">
        <v>0.125</v>
      </c>
      <c r="G18" s="49">
        <f t="shared" si="24"/>
        <v>0</v>
      </c>
      <c r="H18" s="56"/>
      <c r="I18" s="61">
        <f t="shared" si="3"/>
        <v>750</v>
      </c>
      <c r="J18" s="133">
        <f t="shared" si="4"/>
        <v>0.875</v>
      </c>
      <c r="K18" s="51">
        <f t="shared" si="5"/>
        <v>10.824479999999999</v>
      </c>
      <c r="L18" s="57">
        <f t="shared" si="6"/>
        <v>0.45446399999999998</v>
      </c>
      <c r="M18" s="57">
        <f t="shared" si="7"/>
        <v>0</v>
      </c>
      <c r="N18" s="51">
        <f t="shared" si="8"/>
        <v>6.2487360000000001</v>
      </c>
      <c r="O18" s="57">
        <f t="shared" si="9"/>
        <v>0.38406420000000002</v>
      </c>
      <c r="P18" s="57">
        <f t="shared" si="10"/>
        <v>0</v>
      </c>
      <c r="Q18" s="57">
        <f t="shared" si="11"/>
        <v>0</v>
      </c>
      <c r="R18" s="51">
        <f t="shared" si="12"/>
        <v>0.83951999999999993</v>
      </c>
      <c r="S18" s="51">
        <v>0</v>
      </c>
      <c r="T18" s="51">
        <f t="shared" si="13"/>
        <v>0</v>
      </c>
      <c r="V18" s="47">
        <f t="shared" si="0"/>
        <v>0.87695999999999996</v>
      </c>
      <c r="W18" s="47">
        <f t="shared" si="14"/>
        <v>0.20020499999999997</v>
      </c>
      <c r="X18" s="47">
        <f t="shared" si="15"/>
        <v>0</v>
      </c>
      <c r="Y18" s="47">
        <f t="shared" si="1"/>
        <v>0.83951999999999993</v>
      </c>
      <c r="Z18" s="47">
        <v>0</v>
      </c>
      <c r="AA18" s="47">
        <f t="shared" si="16"/>
        <v>0</v>
      </c>
      <c r="AC18" s="51">
        <f t="shared" si="17"/>
        <v>0</v>
      </c>
      <c r="AD18" s="51">
        <v>0</v>
      </c>
      <c r="AE18" s="51">
        <f t="shared" si="18"/>
        <v>0</v>
      </c>
      <c r="AG18" s="51">
        <f t="shared" si="2"/>
        <v>0</v>
      </c>
      <c r="AH18" s="51">
        <f t="shared" si="19"/>
        <v>0</v>
      </c>
      <c r="AI18" s="51">
        <f t="shared" si="20"/>
        <v>0</v>
      </c>
      <c r="AJ18" s="51">
        <f t="shared" si="21"/>
        <v>0</v>
      </c>
      <c r="AK18" s="51">
        <f t="shared" si="22"/>
        <v>0</v>
      </c>
      <c r="AL18" s="51">
        <f t="shared" si="23"/>
        <v>0</v>
      </c>
    </row>
    <row r="19" spans="1:38" hidden="1" x14ac:dyDescent="0.35">
      <c r="A19" s="88"/>
      <c r="B19" s="75"/>
      <c r="C19" s="80" t="s">
        <v>162</v>
      </c>
      <c r="D19" s="80">
        <v>1500</v>
      </c>
      <c r="E19" s="128">
        <v>0.125</v>
      </c>
      <c r="F19" s="128">
        <v>0.125</v>
      </c>
      <c r="G19" s="49">
        <f t="shared" si="24"/>
        <v>0</v>
      </c>
      <c r="H19" s="56"/>
      <c r="I19" s="61">
        <f t="shared" si="3"/>
        <v>750</v>
      </c>
      <c r="J19" s="133">
        <f t="shared" si="4"/>
        <v>0.875</v>
      </c>
      <c r="K19" s="51">
        <f t="shared" si="5"/>
        <v>10.824479999999999</v>
      </c>
      <c r="L19" s="57">
        <f t="shared" si="6"/>
        <v>0.45446399999999998</v>
      </c>
      <c r="M19" s="57">
        <f t="shared" si="7"/>
        <v>0</v>
      </c>
      <c r="N19" s="51">
        <f t="shared" si="8"/>
        <v>6.2487360000000001</v>
      </c>
      <c r="O19" s="57">
        <f t="shared" si="9"/>
        <v>0.38406420000000002</v>
      </c>
      <c r="P19" s="57">
        <f t="shared" si="10"/>
        <v>0</v>
      </c>
      <c r="Q19" s="57">
        <f t="shared" si="11"/>
        <v>0</v>
      </c>
      <c r="R19" s="51">
        <f t="shared" si="12"/>
        <v>0.83951999999999993</v>
      </c>
      <c r="S19" s="51">
        <v>0</v>
      </c>
      <c r="T19" s="51">
        <f t="shared" si="13"/>
        <v>0</v>
      </c>
      <c r="V19" s="47">
        <f t="shared" si="0"/>
        <v>0.87695999999999996</v>
      </c>
      <c r="W19" s="47">
        <f t="shared" si="14"/>
        <v>0.20020499999999997</v>
      </c>
      <c r="X19" s="47">
        <f t="shared" si="15"/>
        <v>0</v>
      </c>
      <c r="Y19" s="47">
        <f t="shared" si="1"/>
        <v>0.83951999999999993</v>
      </c>
      <c r="Z19" s="47">
        <v>0</v>
      </c>
      <c r="AA19" s="47">
        <f t="shared" si="16"/>
        <v>0</v>
      </c>
      <c r="AC19" s="51">
        <f t="shared" si="17"/>
        <v>0</v>
      </c>
      <c r="AD19" s="51">
        <v>0</v>
      </c>
      <c r="AE19" s="51">
        <f t="shared" si="18"/>
        <v>0</v>
      </c>
      <c r="AG19" s="51">
        <f t="shared" si="2"/>
        <v>0</v>
      </c>
      <c r="AH19" s="51">
        <f t="shared" si="19"/>
        <v>0</v>
      </c>
      <c r="AI19" s="51">
        <f t="shared" si="20"/>
        <v>0</v>
      </c>
      <c r="AJ19" s="51">
        <f t="shared" si="21"/>
        <v>0</v>
      </c>
      <c r="AK19" s="51">
        <f t="shared" si="22"/>
        <v>0</v>
      </c>
      <c r="AL19" s="51">
        <f t="shared" si="23"/>
        <v>0</v>
      </c>
    </row>
    <row r="20" spans="1:38" hidden="1" x14ac:dyDescent="0.35">
      <c r="A20" s="88"/>
      <c r="B20" s="75"/>
      <c r="C20" s="80" t="s">
        <v>162</v>
      </c>
      <c r="D20" s="80">
        <v>1500</v>
      </c>
      <c r="E20" s="128">
        <v>0.125</v>
      </c>
      <c r="F20" s="128">
        <v>0.125</v>
      </c>
      <c r="G20" s="49">
        <f t="shared" si="24"/>
        <v>0</v>
      </c>
      <c r="H20" s="56"/>
      <c r="I20" s="61">
        <f t="shared" si="3"/>
        <v>750</v>
      </c>
      <c r="J20" s="133">
        <f t="shared" si="4"/>
        <v>0.875</v>
      </c>
      <c r="K20" s="51">
        <f t="shared" si="5"/>
        <v>10.824479999999999</v>
      </c>
      <c r="L20" s="57">
        <f t="shared" si="6"/>
        <v>0.45446399999999998</v>
      </c>
      <c r="M20" s="57">
        <f t="shared" si="7"/>
        <v>0</v>
      </c>
      <c r="N20" s="51">
        <f t="shared" si="8"/>
        <v>6.2487360000000001</v>
      </c>
      <c r="O20" s="57">
        <f t="shared" si="9"/>
        <v>0.38406420000000002</v>
      </c>
      <c r="P20" s="57">
        <f t="shared" si="10"/>
        <v>0</v>
      </c>
      <c r="Q20" s="57">
        <f t="shared" si="11"/>
        <v>0</v>
      </c>
      <c r="R20" s="51">
        <f t="shared" si="12"/>
        <v>0.83951999999999993</v>
      </c>
      <c r="S20" s="51">
        <v>0</v>
      </c>
      <c r="T20" s="51">
        <f t="shared" si="13"/>
        <v>0</v>
      </c>
      <c r="V20" s="47">
        <f t="shared" si="0"/>
        <v>0.87695999999999996</v>
      </c>
      <c r="W20" s="47">
        <f t="shared" si="14"/>
        <v>0.20020499999999997</v>
      </c>
      <c r="X20" s="47">
        <f t="shared" si="15"/>
        <v>0</v>
      </c>
      <c r="Y20" s="47">
        <f t="shared" si="1"/>
        <v>0.83951999999999993</v>
      </c>
      <c r="Z20" s="47">
        <v>0</v>
      </c>
      <c r="AA20" s="47">
        <f t="shared" si="16"/>
        <v>0</v>
      </c>
      <c r="AC20" s="51">
        <f t="shared" si="17"/>
        <v>0</v>
      </c>
      <c r="AD20" s="51">
        <v>0</v>
      </c>
      <c r="AE20" s="51">
        <f t="shared" si="18"/>
        <v>0</v>
      </c>
      <c r="AG20" s="51">
        <f t="shared" si="2"/>
        <v>0</v>
      </c>
      <c r="AH20" s="51">
        <f t="shared" si="19"/>
        <v>0</v>
      </c>
      <c r="AI20" s="51">
        <f t="shared" si="20"/>
        <v>0</v>
      </c>
      <c r="AJ20" s="51">
        <f t="shared" si="21"/>
        <v>0</v>
      </c>
      <c r="AK20" s="51">
        <f t="shared" si="22"/>
        <v>0</v>
      </c>
      <c r="AL20" s="51">
        <f t="shared" si="23"/>
        <v>0</v>
      </c>
    </row>
    <row r="21" spans="1:38" hidden="1" x14ac:dyDescent="0.35">
      <c r="A21" s="88"/>
      <c r="B21" s="75"/>
      <c r="C21" s="80" t="s">
        <v>162</v>
      </c>
      <c r="D21" s="80">
        <v>1500</v>
      </c>
      <c r="E21" s="128">
        <v>0.125</v>
      </c>
      <c r="F21" s="128">
        <v>0.125</v>
      </c>
      <c r="G21" s="49">
        <f t="shared" si="24"/>
        <v>0</v>
      </c>
      <c r="H21" s="56"/>
      <c r="I21" s="61">
        <f t="shared" si="3"/>
        <v>750</v>
      </c>
      <c r="J21" s="133">
        <f t="shared" si="4"/>
        <v>0.875</v>
      </c>
      <c r="K21" s="51">
        <f t="shared" si="5"/>
        <v>10.824479999999999</v>
      </c>
      <c r="L21" s="57">
        <f t="shared" si="6"/>
        <v>0.45446399999999998</v>
      </c>
      <c r="M21" s="57">
        <f t="shared" si="7"/>
        <v>0</v>
      </c>
      <c r="N21" s="51">
        <f t="shared" si="8"/>
        <v>6.2487360000000001</v>
      </c>
      <c r="O21" s="57">
        <f t="shared" si="9"/>
        <v>0.38406420000000002</v>
      </c>
      <c r="P21" s="57">
        <f t="shared" si="10"/>
        <v>0</v>
      </c>
      <c r="Q21" s="57">
        <f t="shared" si="11"/>
        <v>0</v>
      </c>
      <c r="R21" s="51">
        <f t="shared" si="12"/>
        <v>0.83951999999999993</v>
      </c>
      <c r="S21" s="51">
        <v>0</v>
      </c>
      <c r="T21" s="51">
        <f t="shared" si="13"/>
        <v>0</v>
      </c>
      <c r="V21" s="47">
        <f t="shared" si="0"/>
        <v>0.87695999999999996</v>
      </c>
      <c r="W21" s="47">
        <f t="shared" si="14"/>
        <v>0.20020499999999997</v>
      </c>
      <c r="X21" s="47">
        <f t="shared" si="15"/>
        <v>0</v>
      </c>
      <c r="Y21" s="47">
        <f t="shared" si="1"/>
        <v>0.83951999999999993</v>
      </c>
      <c r="Z21" s="47">
        <v>0</v>
      </c>
      <c r="AA21" s="47">
        <f t="shared" si="16"/>
        <v>0</v>
      </c>
      <c r="AC21" s="51">
        <f t="shared" si="17"/>
        <v>0</v>
      </c>
      <c r="AD21" s="51">
        <v>0</v>
      </c>
      <c r="AE21" s="51">
        <f t="shared" si="18"/>
        <v>0</v>
      </c>
      <c r="AG21" s="51">
        <f t="shared" si="2"/>
        <v>0</v>
      </c>
      <c r="AH21" s="51">
        <f t="shared" si="19"/>
        <v>0</v>
      </c>
      <c r="AI21" s="51">
        <f t="shared" si="20"/>
        <v>0</v>
      </c>
      <c r="AJ21" s="51">
        <f t="shared" si="21"/>
        <v>0</v>
      </c>
      <c r="AK21" s="51">
        <f t="shared" si="22"/>
        <v>0</v>
      </c>
      <c r="AL21" s="51">
        <f t="shared" si="23"/>
        <v>0</v>
      </c>
    </row>
    <row r="22" spans="1:38" hidden="1" x14ac:dyDescent="0.35">
      <c r="A22" s="88"/>
      <c r="B22" s="75"/>
      <c r="C22" s="80" t="s">
        <v>162</v>
      </c>
      <c r="D22" s="80">
        <v>1500</v>
      </c>
      <c r="E22" s="128">
        <v>0.125</v>
      </c>
      <c r="F22" s="128">
        <v>0.125</v>
      </c>
      <c r="G22" s="49">
        <f t="shared" si="24"/>
        <v>0</v>
      </c>
      <c r="H22" s="56"/>
      <c r="I22" s="61">
        <f t="shared" si="3"/>
        <v>750</v>
      </c>
      <c r="J22" s="133">
        <f t="shared" si="4"/>
        <v>0.875</v>
      </c>
      <c r="K22" s="51">
        <f t="shared" si="5"/>
        <v>10.824479999999999</v>
      </c>
      <c r="L22" s="57">
        <f t="shared" si="6"/>
        <v>0.45446399999999998</v>
      </c>
      <c r="M22" s="57">
        <f t="shared" si="7"/>
        <v>0</v>
      </c>
      <c r="N22" s="51">
        <f t="shared" si="8"/>
        <v>6.2487360000000001</v>
      </c>
      <c r="O22" s="57">
        <f t="shared" si="9"/>
        <v>0.38406420000000002</v>
      </c>
      <c r="P22" s="57">
        <f t="shared" si="10"/>
        <v>0</v>
      </c>
      <c r="Q22" s="57">
        <f t="shared" si="11"/>
        <v>0</v>
      </c>
      <c r="R22" s="51">
        <f t="shared" si="12"/>
        <v>0.83951999999999993</v>
      </c>
      <c r="S22" s="51">
        <v>0</v>
      </c>
      <c r="T22" s="51">
        <f t="shared" si="13"/>
        <v>0</v>
      </c>
      <c r="V22" s="47">
        <f t="shared" si="0"/>
        <v>0.87695999999999996</v>
      </c>
      <c r="W22" s="47">
        <f t="shared" si="14"/>
        <v>0.20020499999999997</v>
      </c>
      <c r="X22" s="47">
        <f t="shared" si="15"/>
        <v>0</v>
      </c>
      <c r="Y22" s="47">
        <f t="shared" si="1"/>
        <v>0.83951999999999993</v>
      </c>
      <c r="Z22" s="47">
        <v>0</v>
      </c>
      <c r="AA22" s="47">
        <f t="shared" si="16"/>
        <v>0</v>
      </c>
      <c r="AC22" s="51">
        <f t="shared" si="17"/>
        <v>0</v>
      </c>
      <c r="AD22" s="51">
        <v>0</v>
      </c>
      <c r="AE22" s="51">
        <f t="shared" si="18"/>
        <v>0</v>
      </c>
      <c r="AG22" s="51">
        <f t="shared" si="2"/>
        <v>0</v>
      </c>
      <c r="AH22" s="51">
        <f t="shared" si="19"/>
        <v>0</v>
      </c>
      <c r="AI22" s="51">
        <f t="shared" si="20"/>
        <v>0</v>
      </c>
      <c r="AJ22" s="51">
        <f t="shared" si="21"/>
        <v>0</v>
      </c>
      <c r="AK22" s="51">
        <f t="shared" si="22"/>
        <v>0</v>
      </c>
      <c r="AL22" s="51">
        <f t="shared" si="23"/>
        <v>0</v>
      </c>
    </row>
    <row r="23" spans="1:38" hidden="1" x14ac:dyDescent="0.35">
      <c r="A23" s="88"/>
      <c r="B23" s="75"/>
      <c r="C23" s="80" t="s">
        <v>162</v>
      </c>
      <c r="D23" s="80">
        <v>1500</v>
      </c>
      <c r="E23" s="128">
        <v>0.125</v>
      </c>
      <c r="F23" s="128">
        <v>0.125</v>
      </c>
      <c r="G23" s="49">
        <f t="shared" si="24"/>
        <v>0</v>
      </c>
      <c r="H23" s="56"/>
      <c r="I23" s="61">
        <f t="shared" si="3"/>
        <v>750</v>
      </c>
      <c r="J23" s="133">
        <f t="shared" si="4"/>
        <v>0.875</v>
      </c>
      <c r="K23" s="51">
        <f t="shared" si="5"/>
        <v>10.824479999999999</v>
      </c>
      <c r="L23" s="57">
        <f t="shared" si="6"/>
        <v>0.45446399999999998</v>
      </c>
      <c r="M23" s="57">
        <f t="shared" si="7"/>
        <v>0</v>
      </c>
      <c r="N23" s="51">
        <f t="shared" si="8"/>
        <v>6.2487360000000001</v>
      </c>
      <c r="O23" s="57">
        <f t="shared" si="9"/>
        <v>0.38406420000000002</v>
      </c>
      <c r="P23" s="57">
        <f t="shared" si="10"/>
        <v>0</v>
      </c>
      <c r="Q23" s="57">
        <f t="shared" si="11"/>
        <v>0</v>
      </c>
      <c r="R23" s="51">
        <f t="shared" si="12"/>
        <v>0.83951999999999993</v>
      </c>
      <c r="S23" s="51">
        <v>0</v>
      </c>
      <c r="T23" s="51">
        <f t="shared" si="13"/>
        <v>0</v>
      </c>
      <c r="V23" s="47">
        <f t="shared" si="0"/>
        <v>0.87695999999999996</v>
      </c>
      <c r="W23" s="47">
        <f t="shared" si="14"/>
        <v>0.20020499999999997</v>
      </c>
      <c r="X23" s="47">
        <f t="shared" si="15"/>
        <v>0</v>
      </c>
      <c r="Y23" s="47">
        <f t="shared" si="1"/>
        <v>0.83951999999999993</v>
      </c>
      <c r="Z23" s="47">
        <v>0</v>
      </c>
      <c r="AA23" s="47">
        <f t="shared" si="16"/>
        <v>0</v>
      </c>
      <c r="AC23" s="51">
        <f t="shared" si="17"/>
        <v>0</v>
      </c>
      <c r="AD23" s="51">
        <v>0</v>
      </c>
      <c r="AE23" s="51">
        <f t="shared" si="18"/>
        <v>0</v>
      </c>
      <c r="AG23" s="51">
        <f t="shared" si="2"/>
        <v>0</v>
      </c>
      <c r="AH23" s="51">
        <f t="shared" si="19"/>
        <v>0</v>
      </c>
      <c r="AI23" s="51">
        <f t="shared" si="20"/>
        <v>0</v>
      </c>
      <c r="AJ23" s="51">
        <f t="shared" si="21"/>
        <v>0</v>
      </c>
      <c r="AK23" s="51">
        <f t="shared" si="22"/>
        <v>0</v>
      </c>
      <c r="AL23" s="51">
        <f t="shared" si="23"/>
        <v>0</v>
      </c>
    </row>
    <row r="24" spans="1:38" hidden="1" x14ac:dyDescent="0.35">
      <c r="A24" s="88"/>
      <c r="B24" s="75"/>
      <c r="C24" s="80" t="s">
        <v>162</v>
      </c>
      <c r="D24" s="80">
        <v>1500</v>
      </c>
      <c r="E24" s="128">
        <v>0.125</v>
      </c>
      <c r="F24" s="128">
        <v>0.125</v>
      </c>
      <c r="G24" s="49">
        <f t="shared" si="24"/>
        <v>0</v>
      </c>
      <c r="H24" s="56"/>
      <c r="I24" s="61">
        <f t="shared" si="3"/>
        <v>750</v>
      </c>
      <c r="J24" s="133">
        <f t="shared" si="4"/>
        <v>0.875</v>
      </c>
      <c r="K24" s="51">
        <f t="shared" si="5"/>
        <v>10.824479999999999</v>
      </c>
      <c r="L24" s="57">
        <f t="shared" si="6"/>
        <v>0.45446399999999998</v>
      </c>
      <c r="M24" s="57">
        <f t="shared" si="7"/>
        <v>0</v>
      </c>
      <c r="N24" s="51">
        <f t="shared" si="8"/>
        <v>6.2487360000000001</v>
      </c>
      <c r="O24" s="57">
        <f t="shared" si="9"/>
        <v>0.38406420000000002</v>
      </c>
      <c r="P24" s="57">
        <f t="shared" si="10"/>
        <v>0</v>
      </c>
      <c r="Q24" s="57">
        <f t="shared" si="11"/>
        <v>0</v>
      </c>
      <c r="R24" s="51">
        <f t="shared" si="12"/>
        <v>0.83951999999999993</v>
      </c>
      <c r="S24" s="51">
        <v>0</v>
      </c>
      <c r="T24" s="51">
        <f t="shared" si="13"/>
        <v>0</v>
      </c>
      <c r="V24" s="47">
        <f t="shared" si="0"/>
        <v>0.87695999999999996</v>
      </c>
      <c r="W24" s="47">
        <f t="shared" si="14"/>
        <v>0.20020499999999997</v>
      </c>
      <c r="X24" s="47">
        <f t="shared" si="15"/>
        <v>0</v>
      </c>
      <c r="Y24" s="47">
        <f t="shared" si="1"/>
        <v>0.83951999999999993</v>
      </c>
      <c r="Z24" s="47">
        <v>0</v>
      </c>
      <c r="AA24" s="47">
        <f t="shared" si="16"/>
        <v>0</v>
      </c>
      <c r="AC24" s="51">
        <f t="shared" si="17"/>
        <v>0</v>
      </c>
      <c r="AD24" s="51">
        <v>0</v>
      </c>
      <c r="AE24" s="51">
        <f t="shared" si="18"/>
        <v>0</v>
      </c>
      <c r="AG24" s="51">
        <f t="shared" si="2"/>
        <v>0</v>
      </c>
      <c r="AH24" s="51">
        <f t="shared" si="19"/>
        <v>0</v>
      </c>
      <c r="AI24" s="51">
        <f t="shared" si="20"/>
        <v>0</v>
      </c>
      <c r="AJ24" s="51">
        <f t="shared" si="21"/>
        <v>0</v>
      </c>
      <c r="AK24" s="51">
        <f t="shared" si="22"/>
        <v>0</v>
      </c>
      <c r="AL24" s="51">
        <f t="shared" si="23"/>
        <v>0</v>
      </c>
    </row>
    <row r="25" spans="1:38" hidden="1" x14ac:dyDescent="0.35">
      <c r="A25" s="88"/>
      <c r="B25" s="75"/>
      <c r="C25" s="80" t="s">
        <v>162</v>
      </c>
      <c r="D25" s="80">
        <v>1500</v>
      </c>
      <c r="E25" s="128">
        <v>0.125</v>
      </c>
      <c r="F25" s="128">
        <v>0.125</v>
      </c>
      <c r="G25" s="49">
        <f t="shared" si="24"/>
        <v>0</v>
      </c>
      <c r="H25" s="56"/>
      <c r="I25" s="61">
        <f t="shared" si="3"/>
        <v>750</v>
      </c>
      <c r="J25" s="133">
        <f t="shared" si="4"/>
        <v>0.875</v>
      </c>
      <c r="K25" s="51">
        <f t="shared" si="5"/>
        <v>10.824479999999999</v>
      </c>
      <c r="L25" s="57">
        <f t="shared" si="6"/>
        <v>0.45446399999999998</v>
      </c>
      <c r="M25" s="57">
        <f t="shared" si="7"/>
        <v>0</v>
      </c>
      <c r="N25" s="51">
        <f t="shared" si="8"/>
        <v>6.2487360000000001</v>
      </c>
      <c r="O25" s="57">
        <f t="shared" si="9"/>
        <v>0.38406420000000002</v>
      </c>
      <c r="P25" s="57">
        <f t="shared" si="10"/>
        <v>0</v>
      </c>
      <c r="Q25" s="57">
        <f t="shared" si="11"/>
        <v>0</v>
      </c>
      <c r="R25" s="51">
        <f t="shared" si="12"/>
        <v>0.83951999999999993</v>
      </c>
      <c r="S25" s="51">
        <v>0</v>
      </c>
      <c r="T25" s="51">
        <f t="shared" si="13"/>
        <v>0</v>
      </c>
      <c r="V25" s="47">
        <f t="shared" si="0"/>
        <v>0.87695999999999996</v>
      </c>
      <c r="W25" s="47">
        <f t="shared" si="14"/>
        <v>0.20020499999999997</v>
      </c>
      <c r="X25" s="47">
        <f t="shared" si="15"/>
        <v>0</v>
      </c>
      <c r="Y25" s="47">
        <f t="shared" si="1"/>
        <v>0.83951999999999993</v>
      </c>
      <c r="Z25" s="47">
        <v>0</v>
      </c>
      <c r="AA25" s="47">
        <f t="shared" si="16"/>
        <v>0</v>
      </c>
      <c r="AC25" s="51">
        <f t="shared" si="17"/>
        <v>0</v>
      </c>
      <c r="AD25" s="51">
        <v>0</v>
      </c>
      <c r="AE25" s="51">
        <f t="shared" si="18"/>
        <v>0</v>
      </c>
      <c r="AG25" s="51">
        <f t="shared" si="2"/>
        <v>0</v>
      </c>
      <c r="AH25" s="51">
        <f t="shared" si="19"/>
        <v>0</v>
      </c>
      <c r="AI25" s="51">
        <f t="shared" si="20"/>
        <v>0</v>
      </c>
      <c r="AJ25" s="51">
        <f t="shared" si="21"/>
        <v>0</v>
      </c>
      <c r="AK25" s="51">
        <f t="shared" si="22"/>
        <v>0</v>
      </c>
      <c r="AL25" s="51">
        <f t="shared" si="23"/>
        <v>0</v>
      </c>
    </row>
    <row r="26" spans="1:38" hidden="1" x14ac:dyDescent="0.35">
      <c r="A26" s="88"/>
      <c r="B26" s="75"/>
      <c r="C26" s="80" t="s">
        <v>162</v>
      </c>
      <c r="D26" s="80">
        <v>1500</v>
      </c>
      <c r="E26" s="128">
        <v>0.125</v>
      </c>
      <c r="F26" s="128">
        <v>0.125</v>
      </c>
      <c r="G26" s="49">
        <f t="shared" si="24"/>
        <v>0</v>
      </c>
      <c r="H26" s="56"/>
      <c r="I26" s="61">
        <f t="shared" si="3"/>
        <v>750</v>
      </c>
      <c r="J26" s="133">
        <f t="shared" si="4"/>
        <v>0.875</v>
      </c>
      <c r="K26" s="51">
        <f t="shared" si="5"/>
        <v>10.824479999999999</v>
      </c>
      <c r="L26" s="57">
        <f t="shared" si="6"/>
        <v>0.45446399999999998</v>
      </c>
      <c r="M26" s="57">
        <f t="shared" si="7"/>
        <v>0</v>
      </c>
      <c r="N26" s="51">
        <f t="shared" si="8"/>
        <v>6.2487360000000001</v>
      </c>
      <c r="O26" s="57">
        <f t="shared" si="9"/>
        <v>0.38406420000000002</v>
      </c>
      <c r="P26" s="57">
        <f t="shared" si="10"/>
        <v>0</v>
      </c>
      <c r="Q26" s="57">
        <f t="shared" si="11"/>
        <v>0</v>
      </c>
      <c r="R26" s="51">
        <f t="shared" si="12"/>
        <v>0.83951999999999993</v>
      </c>
      <c r="S26" s="51">
        <v>0</v>
      </c>
      <c r="T26" s="51">
        <f t="shared" si="13"/>
        <v>0</v>
      </c>
      <c r="V26" s="47">
        <f t="shared" si="0"/>
        <v>0.87695999999999996</v>
      </c>
      <c r="W26" s="47">
        <f t="shared" si="14"/>
        <v>0.20020499999999997</v>
      </c>
      <c r="X26" s="47">
        <f t="shared" si="15"/>
        <v>0</v>
      </c>
      <c r="Y26" s="47">
        <f t="shared" si="1"/>
        <v>0.83951999999999993</v>
      </c>
      <c r="Z26" s="47">
        <v>0</v>
      </c>
      <c r="AA26" s="47">
        <f t="shared" si="16"/>
        <v>0</v>
      </c>
      <c r="AC26" s="51">
        <f t="shared" si="17"/>
        <v>0</v>
      </c>
      <c r="AD26" s="51">
        <v>0</v>
      </c>
      <c r="AE26" s="51">
        <f t="shared" si="18"/>
        <v>0</v>
      </c>
      <c r="AG26" s="51">
        <f t="shared" si="2"/>
        <v>0</v>
      </c>
      <c r="AH26" s="51">
        <f t="shared" si="19"/>
        <v>0</v>
      </c>
      <c r="AI26" s="51">
        <f t="shared" si="20"/>
        <v>0</v>
      </c>
      <c r="AJ26" s="51">
        <f t="shared" si="21"/>
        <v>0</v>
      </c>
      <c r="AK26" s="51">
        <f t="shared" si="22"/>
        <v>0</v>
      </c>
      <c r="AL26" s="51">
        <f t="shared" si="23"/>
        <v>0</v>
      </c>
    </row>
    <row r="27" spans="1:38" x14ac:dyDescent="0.35">
      <c r="G27" s="1"/>
    </row>
    <row r="32" spans="1:38" hidden="1" x14ac:dyDescent="0.35">
      <c r="C32" s="61" t="s">
        <v>282</v>
      </c>
      <c r="D32" s="61"/>
      <c r="E32" s="61"/>
      <c r="F32" s="61"/>
    </row>
    <row r="33" spans="3:6" hidden="1" x14ac:dyDescent="0.35">
      <c r="C33" s="61" t="s">
        <v>161</v>
      </c>
      <c r="D33" s="61"/>
      <c r="E33" s="61"/>
      <c r="F33" s="61"/>
    </row>
    <row r="34" spans="3:6" hidden="1" x14ac:dyDescent="0.35">
      <c r="C34" s="61" t="s">
        <v>160</v>
      </c>
      <c r="D34" s="61"/>
    </row>
    <row r="35" spans="3:6" ht="14.5" customHeight="1" x14ac:dyDescent="0.35"/>
    <row r="36" spans="3:6" ht="14.5" customHeight="1" x14ac:dyDescent="0.35"/>
  </sheetData>
  <sheetProtection algorithmName="SHA-512" hashValue="KaSBmkzA+u+iMA2VXnVDhWwIkdooSz0j76jnVtMXs5N7d+EE5Jsjtybe5++3Uu6OhIjAL06alejjvCI+0aU7oQ==" saltValue="VOThKKgD42KuFirld3SklQ==" spinCount="100000" sheet="1" objects="1" scenarios="1"/>
  <mergeCells count="12">
    <mergeCell ref="AG7:AL7"/>
    <mergeCell ref="K7:M7"/>
    <mergeCell ref="N7:P7"/>
    <mergeCell ref="Q7:Q8"/>
    <mergeCell ref="R7:T7"/>
    <mergeCell ref="V7:X7"/>
    <mergeCell ref="A1:C1"/>
    <mergeCell ref="K6:T6"/>
    <mergeCell ref="V6:AA6"/>
    <mergeCell ref="AC6:AE6"/>
    <mergeCell ref="Y7:AA7"/>
    <mergeCell ref="AC7:AE7"/>
  </mergeCells>
  <dataValidations count="10">
    <dataValidation allowBlank="1" showInputMessage="1" showErrorMessage="1" promptTitle="Percentage of time in HS mode(%)" prompt="Valid range from 0 to 100%_x000a_If user input 0% meant 100% in LP mode" sqref="F8" xr:uid="{55C9E702-0CA0-49EE-A100-7E444A23B3EB}"/>
    <dataValidation allowBlank="1" showInputMessage="1" showErrorMessage="1" promptTitle="Activity Factor" prompt="The output change value with respect to the clock cycle. An AF of 100% meant every positive edge (or every negative edge) of the clock, the output is change value" sqref="E8" xr:uid="{3A08FC00-E843-43C1-8263-9B68A15D5BFF}"/>
    <dataValidation allowBlank="1" showInputMessage="1" showErrorMessage="1" promptTitle="Data Rate (Mbps)" prompt="Valid range from 80Mbps to 1500Mbps" sqref="D8" xr:uid="{8FD9C597-BC5B-41E6-86E2-3B09114C5C68}"/>
    <dataValidation type="list" allowBlank="1" showInputMessage="1" showErrorMessage="1" sqref="C9:C26" xr:uid="{F357BA4A-D883-417C-BD4B-50B15C480E77}">
      <formula1>$C$32:$C$33</formula1>
    </dataValidation>
    <dataValidation allowBlank="1" error="Please insert the supported number of channels_x000a_" sqref="B15:B26" xr:uid="{56F2BA76-8684-4BAF-9516-101CC2D13EBA}"/>
    <dataValidation allowBlank="1" promptTitle="Number of Channels" prompt="Valid range 0 to 2_x000a_" sqref="B8" xr:uid="{5C518758-80F1-415B-BD17-0584659D320F}"/>
    <dataValidation type="decimal" allowBlank="1" showInputMessage="1" showErrorMessage="1" error="Valid Data Rate is from 80Mbps to 1500Mbps " sqref="D9:D26" xr:uid="{01609EF6-C30F-4CA2-B62A-27C11785A212}">
      <formula1>80</formula1>
      <formula2>1500</formula2>
    </dataValidation>
    <dataValidation type="decimal" allowBlank="1" showInputMessage="1" showErrorMessage="1" error="Only valid from 0% - 100%_x000a__x000a_" sqref="E9:F26" xr:uid="{D5DD6059-4D4E-42CC-B1AC-B4AC76A53D6C}">
      <formula1>0</formula1>
      <formula2>1</formula2>
    </dataValidation>
    <dataValidation allowBlank="1" showInputMessage="1" showErrorMessage="1" promptTitle="Mode" prompt="TX or RX or TX&amp;RX_x000a_Kindly select &quot;TX&amp;RX&quot; mode if your application is with TX and RX_x000a_Select &quot;TX&quot; only or &quot;RX&quot; only mode if your application is only with either side _x000a_" sqref="C8" xr:uid="{860CEAA1-1400-4E3B-A149-450230BECFA4}"/>
    <dataValidation type="whole" operator="greaterThanOrEqual" allowBlank="1" showErrorMessage="1" error="Valid number must be greater than or equal to 0" sqref="B9:B14" xr:uid="{18C70DCD-EB3E-4E82-B09B-3BB66AA14996}">
      <formula1>0</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A9F9D-35C7-4D10-800A-2A439F19FE4C}">
  <sheetPr codeName="Sheet10"/>
  <dimension ref="A1:AK34"/>
  <sheetViews>
    <sheetView showGridLines="0" showRowColHeaders="0" zoomScaleNormal="100" workbookViewId="0">
      <selection sqref="A1:C1"/>
    </sheetView>
  </sheetViews>
  <sheetFormatPr defaultRowHeight="14.5" x14ac:dyDescent="0.35"/>
  <cols>
    <col min="1" max="1" width="17.1796875" bestFit="1" customWidth="1"/>
    <col min="2" max="2" width="28" customWidth="1"/>
    <col min="3" max="3" width="26.7265625" customWidth="1"/>
    <col min="4" max="4" width="12.453125" bestFit="1" customWidth="1"/>
    <col min="5" max="5" width="16.54296875" bestFit="1" customWidth="1"/>
    <col min="6" max="6" width="25.1796875" bestFit="1" customWidth="1"/>
    <col min="7" max="7" width="23.81640625" bestFit="1" customWidth="1"/>
    <col min="8" max="8" width="23.81640625" customWidth="1"/>
    <col min="9" max="9" width="16.54296875" hidden="1" customWidth="1"/>
    <col min="10" max="10" width="12.54296875" bestFit="1" customWidth="1"/>
    <col min="11" max="12" width="12.54296875" style="1" customWidth="1"/>
    <col min="13" max="13" width="19.26953125" hidden="1" customWidth="1"/>
    <col min="14" max="14" width="24.1796875" hidden="1" customWidth="1"/>
    <col min="15" max="17" width="22.453125" hidden="1" customWidth="1"/>
    <col min="18" max="19" width="27.54296875" hidden="1" customWidth="1"/>
    <col min="20" max="21" width="22.453125" hidden="1" customWidth="1"/>
    <col min="22" max="22" width="13.7265625" hidden="1" customWidth="1"/>
    <col min="23" max="23" width="16.26953125" hidden="1" customWidth="1"/>
    <col min="24" max="24" width="9.1796875" hidden="1" customWidth="1"/>
    <col min="25" max="25" width="15.7265625" hidden="1" customWidth="1"/>
    <col min="26" max="26" width="17" hidden="1" customWidth="1"/>
    <col min="27" max="27" width="24" hidden="1" customWidth="1"/>
    <col min="28" max="29" width="9.1796875" hidden="1" customWidth="1"/>
    <col min="30" max="30" width="18" hidden="1" customWidth="1"/>
    <col min="31" max="31" width="18.26953125" hidden="1" customWidth="1"/>
    <col min="32" max="33" width="18.54296875" hidden="1" customWidth="1"/>
    <col min="34" max="34" width="9.1796875" hidden="1" customWidth="1"/>
    <col min="35" max="35" width="18.453125" hidden="1" customWidth="1"/>
    <col min="36" max="36" width="9.1796875" style="12" hidden="1" customWidth="1"/>
    <col min="37" max="37" width="9.1796875" style="1" customWidth="1"/>
  </cols>
  <sheetData>
    <row r="1" spans="1:36" ht="26" x14ac:dyDescent="0.35">
      <c r="A1" s="202" t="s">
        <v>163</v>
      </c>
      <c r="B1" s="202"/>
      <c r="C1" s="202"/>
      <c r="D1" s="43"/>
      <c r="E1" s="43"/>
      <c r="F1" s="43"/>
      <c r="G1" s="1"/>
      <c r="H1" s="1"/>
      <c r="I1" s="1"/>
      <c r="J1" s="1"/>
      <c r="M1" s="1"/>
      <c r="N1" s="1"/>
      <c r="O1" s="1"/>
      <c r="P1" s="1"/>
      <c r="Q1" s="1"/>
      <c r="R1" s="1"/>
      <c r="S1" s="1"/>
      <c r="T1" s="1"/>
      <c r="U1" s="1"/>
      <c r="V1" s="1"/>
      <c r="W1" s="1"/>
      <c r="X1" s="1"/>
      <c r="Y1" s="1"/>
      <c r="Z1" s="1"/>
      <c r="AA1" s="1"/>
      <c r="AB1" s="1"/>
      <c r="AC1" s="1"/>
      <c r="AD1" s="1"/>
      <c r="AE1" s="1"/>
      <c r="AF1" s="1"/>
      <c r="AG1" s="1"/>
      <c r="AH1" s="1"/>
      <c r="AI1" s="1"/>
    </row>
    <row r="2" spans="1:36" ht="21" x14ac:dyDescent="0.5">
      <c r="A2" s="102" t="s">
        <v>24</v>
      </c>
      <c r="B2" s="115">
        <f>IF(calTotal!E10="No",IF(calTotal!E11="Nominal",1.2,IF(calTotal!E11="Minimum",1.15,IF(calTotal!E11="Maximum",1.25,"Invalid"))),IF(calTotal!E11="Nominal",1.1,IF(calTotal!E11="Minimum",1.05,IF(calTotal!E11="Maximum",1.15,"Invalid"))))</f>
        <v>1.2</v>
      </c>
      <c r="C2" s="104">
        <f>AI7</f>
        <v>0</v>
      </c>
      <c r="D2" s="45"/>
      <c r="E2" s="45"/>
      <c r="F2" s="45"/>
      <c r="G2" s="1"/>
      <c r="H2" s="1"/>
      <c r="I2" s="1"/>
      <c r="J2" s="1"/>
      <c r="M2" s="1"/>
      <c r="N2" s="1"/>
      <c r="O2" s="1"/>
      <c r="P2" s="1"/>
      <c r="Q2" s="1"/>
      <c r="R2" s="1"/>
      <c r="S2" s="1"/>
      <c r="T2" s="1"/>
      <c r="U2" s="1"/>
      <c r="V2" s="1"/>
      <c r="W2" s="1"/>
      <c r="X2" s="1"/>
      <c r="Y2" s="1"/>
      <c r="Z2" s="1"/>
      <c r="AA2" s="1"/>
      <c r="AB2" s="1"/>
      <c r="AC2" s="1"/>
      <c r="AD2" s="1"/>
      <c r="AE2" s="1"/>
      <c r="AF2" s="1"/>
      <c r="AG2" s="1"/>
      <c r="AH2" s="1"/>
      <c r="AI2" s="1"/>
    </row>
    <row r="3" spans="1:36" ht="21" x14ac:dyDescent="0.5">
      <c r="A3" s="102" t="s">
        <v>21</v>
      </c>
      <c r="B3" s="115" t="str">
        <f>IF(OR(Package="F324",Package="F400"),I7,"-")</f>
        <v>-</v>
      </c>
      <c r="C3" s="104">
        <f>AJ7</f>
        <v>0</v>
      </c>
      <c r="D3" s="45"/>
      <c r="E3" s="45"/>
      <c r="F3" s="1"/>
      <c r="G3" s="1"/>
      <c r="H3" s="1"/>
      <c r="I3" s="1"/>
      <c r="J3" s="1"/>
      <c r="M3" s="1"/>
      <c r="N3" s="1"/>
      <c r="O3" s="1"/>
      <c r="P3" s="1"/>
      <c r="Q3" s="1"/>
      <c r="R3" s="1"/>
      <c r="S3" s="1"/>
      <c r="T3" s="1"/>
      <c r="U3" s="1"/>
      <c r="V3" s="1"/>
      <c r="W3" s="1"/>
      <c r="X3" s="1"/>
      <c r="Y3" s="1"/>
      <c r="Z3" s="1"/>
      <c r="AA3" s="1"/>
      <c r="AB3" s="1"/>
      <c r="AC3" s="1"/>
      <c r="AD3" s="1"/>
      <c r="AE3" s="1"/>
      <c r="AF3" s="1"/>
      <c r="AG3" s="1"/>
      <c r="AH3" s="1"/>
      <c r="AI3" s="1"/>
    </row>
    <row r="4" spans="1:36" ht="21" hidden="1" customHeight="1" x14ac:dyDescent="0.5">
      <c r="A4" s="102" t="s">
        <v>164</v>
      </c>
      <c r="B4" s="115" t="s">
        <v>165</v>
      </c>
      <c r="C4" s="104">
        <f>SUM(C2:C3)</f>
        <v>0</v>
      </c>
      <c r="D4" s="1"/>
      <c r="E4" s="1"/>
      <c r="F4" s="1"/>
      <c r="G4" s="1"/>
      <c r="H4" s="1"/>
      <c r="I4" s="1"/>
      <c r="J4" s="1"/>
      <c r="M4" s="1"/>
      <c r="N4" s="1"/>
      <c r="O4" s="220" t="s">
        <v>166</v>
      </c>
      <c r="P4" s="1"/>
      <c r="Q4" s="1"/>
      <c r="R4" s="220" t="s">
        <v>166</v>
      </c>
      <c r="S4" s="83"/>
      <c r="T4" s="1"/>
      <c r="U4" s="1"/>
      <c r="V4" s="1"/>
      <c r="W4" s="1"/>
      <c r="X4" s="1"/>
      <c r="Y4" s="1"/>
      <c r="Z4" s="1"/>
      <c r="AA4" s="1"/>
      <c r="AB4" s="1"/>
      <c r="AC4" s="1"/>
      <c r="AD4" s="1"/>
      <c r="AE4" s="1"/>
      <c r="AF4" s="1"/>
      <c r="AG4" s="1"/>
      <c r="AH4" s="1"/>
      <c r="AI4" s="1"/>
    </row>
    <row r="5" spans="1:36" x14ac:dyDescent="0.35">
      <c r="A5" s="1"/>
      <c r="B5" s="1"/>
      <c r="C5" s="1"/>
      <c r="D5" s="1"/>
      <c r="E5" s="1"/>
      <c r="F5" s="1"/>
      <c r="G5" s="1"/>
      <c r="H5" s="1"/>
      <c r="I5" s="1"/>
      <c r="J5" s="1"/>
      <c r="M5" s="187" t="s">
        <v>167</v>
      </c>
      <c r="N5" s="187"/>
      <c r="O5" s="220"/>
      <c r="P5" s="187" t="s">
        <v>167</v>
      </c>
      <c r="Q5" s="187"/>
      <c r="R5" s="220"/>
      <c r="S5" s="83"/>
      <c r="T5" s="1"/>
      <c r="U5" s="1"/>
      <c r="V5" s="1"/>
      <c r="W5" s="1"/>
      <c r="X5" s="1"/>
      <c r="Y5" s="219" t="s">
        <v>168</v>
      </c>
      <c r="Z5" s="219"/>
      <c r="AA5" s="219"/>
      <c r="AB5" s="1"/>
      <c r="AC5" s="1"/>
      <c r="AD5" s="219" t="s">
        <v>169</v>
      </c>
      <c r="AE5" s="219"/>
      <c r="AF5" s="219"/>
      <c r="AG5" s="219"/>
      <c r="AH5" s="1"/>
      <c r="AI5" s="12" t="s">
        <v>170</v>
      </c>
    </row>
    <row r="6" spans="1:36" ht="36.65" customHeight="1" x14ac:dyDescent="0.35">
      <c r="A6" s="106" t="s">
        <v>83</v>
      </c>
      <c r="B6" s="106" t="s">
        <v>171</v>
      </c>
      <c r="C6" s="114" t="s">
        <v>172</v>
      </c>
      <c r="D6" s="114" t="s">
        <v>173</v>
      </c>
      <c r="E6" s="114" t="s">
        <v>145</v>
      </c>
      <c r="F6" s="114" t="s">
        <v>174</v>
      </c>
      <c r="G6" s="114" t="s">
        <v>175</v>
      </c>
      <c r="H6" s="114" t="s">
        <v>87</v>
      </c>
      <c r="I6" s="114" t="s">
        <v>176</v>
      </c>
      <c r="J6" s="114" t="s">
        <v>88</v>
      </c>
      <c r="K6" s="72"/>
      <c r="L6" s="72"/>
      <c r="M6" s="73" t="s">
        <v>177</v>
      </c>
      <c r="N6" s="73" t="s">
        <v>178</v>
      </c>
      <c r="O6" s="73" t="s">
        <v>179</v>
      </c>
      <c r="P6" s="73" t="s">
        <v>180</v>
      </c>
      <c r="Q6" s="73" t="s">
        <v>181</v>
      </c>
      <c r="R6" s="73" t="s">
        <v>182</v>
      </c>
      <c r="S6" s="73"/>
      <c r="T6" s="73" t="s">
        <v>183</v>
      </c>
      <c r="U6" s="73" t="s">
        <v>184</v>
      </c>
      <c r="V6" s="73" t="s">
        <v>185</v>
      </c>
      <c r="W6" s="72" t="s">
        <v>148</v>
      </c>
      <c r="X6" s="32"/>
      <c r="Y6" s="82" t="s">
        <v>186</v>
      </c>
      <c r="Z6" s="82" t="s">
        <v>187</v>
      </c>
      <c r="AA6" s="82" t="s">
        <v>188</v>
      </c>
      <c r="AB6" s="32"/>
      <c r="AC6" s="32"/>
      <c r="AD6" s="82" t="s">
        <v>186</v>
      </c>
      <c r="AE6" s="82" t="s">
        <v>187</v>
      </c>
      <c r="AF6" s="82" t="s">
        <v>188</v>
      </c>
      <c r="AG6" s="82" t="s">
        <v>189</v>
      </c>
      <c r="AH6" s="1"/>
      <c r="AI6" s="82" t="s">
        <v>229</v>
      </c>
      <c r="AJ6" s="82" t="s">
        <v>229</v>
      </c>
    </row>
    <row r="7" spans="1:36" x14ac:dyDescent="0.35">
      <c r="A7" s="80"/>
      <c r="B7" s="80"/>
      <c r="C7" s="80"/>
      <c r="D7" s="80"/>
      <c r="E7" s="80"/>
      <c r="F7" s="81"/>
      <c r="G7" s="116">
        <f>1-F7</f>
        <v>1</v>
      </c>
      <c r="H7" s="81">
        <v>0.125</v>
      </c>
      <c r="I7" s="92" t="str">
        <f>IF(calTotal!$E$11="Nominal",IF(B7="DDR3L",1.35,IF(B7="LPDDR3",1.2,IF(B7="DDR3",1.5,IF(B7="LPDDR2",1.2,"-")))),IF(calTotal!$E$11="Minimum",IF(B7="DDR3L",1.283,IF(B7="LPDDR3",1.14,IF(B7="DDR3",1.425,IF(B7="LPDDR2",1.14,"-")))),IF(B7="DDR3L",1.45,IF(B7="LPDDR3",1.3,IF(B7="DDR3",1.575,IF(B7="LPDDR2",1.3,"-"))))))</f>
        <v>-</v>
      </c>
      <c r="J7" s="49">
        <f>C2+C3</f>
        <v>0</v>
      </c>
      <c r="K7" s="18"/>
      <c r="L7" s="18"/>
      <c r="M7" s="12">
        <f>IF(OR(B7="None",B7=0,C7=0,D7=0,E7=0),0,IF(B7="LPDDR2",(86.067*(I7^2))*F7,IF(OR(B7="DDR3","DDR3L"),(93.333*(I7^2))*F7,((86.067*(I7^2))*F7)/((-0.0007*E7)+2.8296))))</f>
        <v>0</v>
      </c>
      <c r="N7" s="12">
        <f>IF(OR(B7="None",B7=0,C7=0,D7=0,E7=0),0,IF(B7="LPDDR2",(15.2333*(I7^2))*G7,IF(OR(B7="DDR3",B7="DDR3L"),(22.074*(I7^2))*G7,((15.2333*(I7^2))*G7)/((-0.0007*E7)+2.8296))))</f>
        <v>0</v>
      </c>
      <c r="O7" s="12">
        <f>IF(OR(B7="None",B7=0,C7=0,D7=0,E7=0),0,IF(B7="LPDDR2",(2.576*(I7^2)),IF(OR(B7="DDR3",B7="DDR3L"),(5.185*(I7^2)),(2.576*(I7^2))/((-0.0007*E7)+2.8296))))</f>
        <v>0</v>
      </c>
      <c r="P7" s="12">
        <f>IF(OR(B7="None",B7=0,C7=0,D7=0,E7=0),0,IF(B7="LPDDR2",(12.083*($B$2^2))*F7,IF(OR(B7="DDR3",B7="DDR3L"),(7.375*($B$2^2))*F7,((12.083*($B$2^2))*F7)/((-0.0007*E7)+2.8296))))</f>
        <v>0</v>
      </c>
      <c r="Q7" s="12">
        <f>IF(OR(B7="None",B7=0,C7=0,D7=0,E7=0),0,IF(B7="LPDDR2",(13.917*($B$2^2))*G7,IF(OR(B7="DDR3",B7="DDR3L"),(5.4167*($B$2^2))*G7,((13.917*($B$2^2))*G7)/((-0.0007*E7)+2.8296))))</f>
        <v>0</v>
      </c>
      <c r="R7" s="12">
        <f>IF(OR(B7="None",B7=0,C7=0,D7=0,E7=0),0,IF(B7="LPDDR2",(13.1*($B$2^2)),IF(OR(B7="DDR3",B7="DDR3L"),(3.867*($B$2^2)),((13.1*($B$2^2)))/((-0.0007*E7)+2.8296))))</f>
        <v>0</v>
      </c>
      <c r="S7" s="12"/>
      <c r="T7" s="12">
        <f>IF(B7="LPDDR2",1,0)</f>
        <v>0</v>
      </c>
      <c r="U7" s="12">
        <f t="shared" ref="U7" si="0">IF(B7="None",0,1)</f>
        <v>1</v>
      </c>
      <c r="V7" s="12">
        <f>IF(B7="None",0,1)</f>
        <v>1</v>
      </c>
      <c r="W7" s="12">
        <f>E7/2</f>
        <v>0</v>
      </c>
      <c r="X7" s="1"/>
      <c r="Y7" s="12">
        <f>IF(OR(B7="None",B7=0,C7=0,D7=0,E7=0),0,IF(B7="LPDDR2",((0.075*($B$2^2)*W7))*F7,IF(OR(B7="DDR3",B7="DDR3L"),((0.08667*($B$2^2)*W7))*F7,(((0.075*($B$2^2)*W7))*F7)/((-0.0007*E7)+2.8296))))*H7</f>
        <v>0</v>
      </c>
      <c r="Z7" s="12">
        <f>IF(OR(B7="None",B7=0,C7=0,D7=0,E7=0),0,IF(B7="LPDDR2",((0.065*($B$2^2)*W7))*G7,IF(OR(B7="DDR3",B7="DDR3L"),((0.0833*($B$2^2)*W7))*G7,(((0.065*($B$2^2)*W7))*G7)/((-0.0007*E7)+2.8296))))*H7</f>
        <v>0</v>
      </c>
      <c r="AA7" s="12">
        <f>IF(OR(B7="None",B7=0,C7=0,D7=0,E7=0),0,IF(C7="x16",SUM(Y7:Z7),SUM(Y7:Z7)*0.8))</f>
        <v>0</v>
      </c>
      <c r="AB7" s="12"/>
      <c r="AC7" s="12"/>
      <c r="AD7" s="3">
        <f>IF(OR(B7="None",B7=0,C7=0,D7=0,E7=0),0,IF(B7="LPDDR2",(0.050833*(I7^2))*W7*F7,IF(B7="LPDDR3",((0.050833*(I7^2))*W7*F7)/((-0.0007*E7)+2.8296),0)))*H7</f>
        <v>0</v>
      </c>
      <c r="AE7" s="3">
        <f>IF(OR(B7="None",B7=0,C7=0,D7=0,E7=0),0,IF(B7="LPDDR2",(0.16333*(I7^2)*W7)*G7,IF(OR(B7="DDR3",B7="DDR3L"),(0.03852*(I7^2)*W7)*G7,((0.16333*(I7^2)*W7)*G7)/((-0.0007*E7)+2.8296))))*H7</f>
        <v>0</v>
      </c>
      <c r="AF7" s="3">
        <f>IF(OR(B7="None",B7=0,C7=0,D7=0,E7=0),0,IF(C7="x16",SUM(AD7:AE7),SUM(AD7:AE7)*0.8))</f>
        <v>0</v>
      </c>
      <c r="AG7" s="3">
        <f>IF(I7="-",0,AF7/I7)</f>
        <v>0</v>
      </c>
      <c r="AH7" s="12"/>
      <c r="AI7" s="12">
        <f>SUM(P7:R7)+AA7</f>
        <v>0</v>
      </c>
      <c r="AJ7" s="12">
        <f>AF7+SUM(M7:O7)</f>
        <v>0</v>
      </c>
    </row>
    <row r="8" spans="1:36" x14ac:dyDescent="0.35">
      <c r="M8" s="1"/>
      <c r="N8" s="1"/>
      <c r="O8" s="1"/>
      <c r="P8" s="1"/>
      <c r="Q8" s="1"/>
      <c r="R8" s="1"/>
      <c r="S8" s="1"/>
      <c r="T8" s="1"/>
      <c r="U8" s="1"/>
      <c r="V8" s="1"/>
      <c r="W8" s="1"/>
      <c r="X8" s="1"/>
      <c r="Y8" s="1"/>
      <c r="Z8" s="1"/>
      <c r="AA8" s="1"/>
      <c r="AB8" s="1"/>
      <c r="AC8" s="1"/>
      <c r="AD8" s="1"/>
      <c r="AE8" s="1"/>
      <c r="AF8" s="1"/>
      <c r="AG8" s="1"/>
      <c r="AH8" s="1"/>
      <c r="AI8" s="1"/>
    </row>
    <row r="9" spans="1:36" x14ac:dyDescent="0.35">
      <c r="M9" s="1"/>
      <c r="N9" s="1"/>
      <c r="O9" s="1"/>
      <c r="P9" s="1"/>
      <c r="Q9" s="1"/>
      <c r="R9" s="1"/>
      <c r="S9" s="1"/>
      <c r="T9" s="1"/>
      <c r="U9" s="1"/>
      <c r="V9" s="1"/>
      <c r="W9" s="1"/>
      <c r="X9" s="1"/>
      <c r="Y9" s="1"/>
      <c r="Z9" s="1"/>
      <c r="AA9" s="1"/>
      <c r="AB9" s="1"/>
      <c r="AC9" s="1"/>
      <c r="AD9" s="1"/>
      <c r="AE9" s="1"/>
      <c r="AF9" s="1"/>
      <c r="AG9" s="1"/>
      <c r="AH9" s="1"/>
      <c r="AI9" s="1"/>
    </row>
    <row r="10" spans="1:36" x14ac:dyDescent="0.35">
      <c r="M10" s="1"/>
      <c r="N10" s="1"/>
      <c r="O10" s="1"/>
      <c r="P10" s="1"/>
      <c r="Q10" s="1"/>
      <c r="R10" s="1"/>
      <c r="S10" s="1"/>
      <c r="T10" s="1"/>
      <c r="U10" s="1"/>
      <c r="V10" s="1"/>
      <c r="W10" s="1"/>
      <c r="X10" s="1"/>
      <c r="Y10" s="1"/>
      <c r="Z10" s="1"/>
      <c r="AA10" s="1"/>
      <c r="AB10" s="1"/>
      <c r="AC10" s="1"/>
      <c r="AD10" s="1"/>
      <c r="AE10" s="1"/>
      <c r="AF10" s="1"/>
      <c r="AG10" s="1"/>
      <c r="AH10" s="1"/>
      <c r="AI10" s="1"/>
    </row>
    <row r="11" spans="1:36" ht="14.5" hidden="1" customHeight="1" x14ac:dyDescent="0.35">
      <c r="B11" s="61" t="s">
        <v>190</v>
      </c>
      <c r="C11" s="61" t="s">
        <v>224</v>
      </c>
      <c r="D11" s="61" t="s">
        <v>192</v>
      </c>
      <c r="M11" s="1"/>
      <c r="N11" s="1"/>
      <c r="O11" s="1"/>
      <c r="P11" s="1"/>
      <c r="Q11" s="1"/>
      <c r="R11" s="1"/>
      <c r="S11" s="1"/>
      <c r="T11" s="1"/>
      <c r="U11" s="1"/>
      <c r="V11" s="1"/>
      <c r="W11" s="1"/>
      <c r="X11" s="1"/>
      <c r="Y11" s="1"/>
      <c r="Z11" s="1"/>
      <c r="AA11" s="1"/>
      <c r="AB11" s="1"/>
      <c r="AC11" s="1"/>
      <c r="AD11" s="1"/>
      <c r="AE11" s="1"/>
      <c r="AF11" s="1"/>
      <c r="AG11" s="1"/>
      <c r="AH11" s="1"/>
      <c r="AI11" s="1"/>
    </row>
    <row r="12" spans="1:36" ht="14.5" hidden="1" customHeight="1" x14ac:dyDescent="0.35">
      <c r="B12" s="61" t="s">
        <v>193</v>
      </c>
      <c r="C12" s="61" t="s">
        <v>191</v>
      </c>
      <c r="D12" s="61"/>
      <c r="M12" s="1"/>
      <c r="N12" s="1"/>
      <c r="O12" s="1"/>
      <c r="P12" s="1"/>
      <c r="Q12" s="1"/>
      <c r="R12" s="1"/>
      <c r="S12" s="1"/>
      <c r="T12" s="1"/>
      <c r="U12" s="1"/>
      <c r="V12" s="1"/>
      <c r="W12" s="1"/>
      <c r="X12" s="1"/>
      <c r="Y12" s="1"/>
      <c r="Z12" s="1"/>
      <c r="AA12" s="1"/>
      <c r="AB12" s="1"/>
      <c r="AC12" s="1"/>
      <c r="AD12" s="1"/>
      <c r="AE12" s="1"/>
      <c r="AF12" s="1"/>
      <c r="AG12" s="1"/>
      <c r="AH12" s="1"/>
      <c r="AI12" s="1"/>
    </row>
    <row r="13" spans="1:36" ht="14.5" hidden="1" customHeight="1" x14ac:dyDescent="0.35">
      <c r="B13" s="61" t="s">
        <v>195</v>
      </c>
      <c r="C13" s="61"/>
      <c r="D13" s="61"/>
      <c r="M13" s="1"/>
      <c r="N13" s="1"/>
      <c r="O13" s="1"/>
      <c r="P13" s="1"/>
      <c r="Q13" s="1"/>
      <c r="R13" s="1"/>
      <c r="S13" s="1"/>
      <c r="T13" s="1"/>
      <c r="U13" s="1"/>
      <c r="V13" s="1"/>
      <c r="W13" s="1"/>
      <c r="X13" s="1"/>
      <c r="Y13" s="1"/>
      <c r="Z13" s="1"/>
      <c r="AA13" s="1"/>
      <c r="AB13" s="1"/>
      <c r="AC13" s="1"/>
      <c r="AD13" s="1"/>
      <c r="AE13" s="1"/>
      <c r="AF13" s="1"/>
      <c r="AG13" s="1"/>
      <c r="AH13" s="1"/>
      <c r="AI13" s="1"/>
    </row>
    <row r="14" spans="1:36" ht="14.5" hidden="1" customHeight="1" x14ac:dyDescent="0.35">
      <c r="B14" s="61" t="s">
        <v>194</v>
      </c>
      <c r="C14" s="61"/>
      <c r="D14" s="61"/>
      <c r="M14" s="1"/>
      <c r="N14" s="1"/>
      <c r="O14" s="1"/>
      <c r="P14" s="1"/>
      <c r="Q14" s="1"/>
      <c r="R14" s="1"/>
      <c r="S14" s="1"/>
      <c r="T14" s="1"/>
      <c r="U14" s="1"/>
      <c r="V14" s="1"/>
      <c r="W14" s="1"/>
      <c r="X14" s="1"/>
      <c r="Y14" s="1"/>
      <c r="Z14" s="1"/>
      <c r="AA14" s="1"/>
      <c r="AB14" s="1"/>
      <c r="AC14" s="1"/>
      <c r="AD14" s="1"/>
      <c r="AE14" s="1"/>
      <c r="AF14" s="1"/>
      <c r="AG14" s="1"/>
      <c r="AH14" s="1"/>
      <c r="AI14" s="1"/>
    </row>
    <row r="15" spans="1:36" ht="14.5" hidden="1" customHeight="1" x14ac:dyDescent="0.35">
      <c r="B15" s="61" t="s">
        <v>26</v>
      </c>
      <c r="C15" s="61"/>
      <c r="D15" s="61"/>
      <c r="M15" s="1"/>
      <c r="N15" s="1"/>
      <c r="O15" s="1"/>
      <c r="P15" s="1"/>
      <c r="Q15" s="1"/>
      <c r="R15" s="1"/>
      <c r="S15" s="1"/>
      <c r="T15" s="1"/>
      <c r="U15" s="1"/>
      <c r="V15" s="1"/>
      <c r="W15" s="1"/>
      <c r="X15" s="1"/>
      <c r="Y15" s="1"/>
      <c r="Z15" s="1"/>
      <c r="AA15" s="1"/>
      <c r="AB15" s="1"/>
      <c r="AC15" s="1"/>
      <c r="AD15" s="1"/>
      <c r="AE15" s="1"/>
      <c r="AF15" s="1"/>
      <c r="AG15" s="1"/>
      <c r="AH15" s="1"/>
      <c r="AI15" s="1"/>
    </row>
    <row r="16" spans="1:36" x14ac:dyDescent="0.35">
      <c r="M16" s="1"/>
      <c r="N16" s="1"/>
      <c r="O16" s="1"/>
      <c r="P16" s="1"/>
      <c r="Q16" s="1"/>
      <c r="R16" s="1"/>
      <c r="S16" s="1"/>
      <c r="T16" s="1"/>
      <c r="U16" s="1"/>
      <c r="V16" s="1"/>
      <c r="W16" s="1"/>
      <c r="X16" s="1"/>
      <c r="Y16" s="1"/>
      <c r="Z16" s="1"/>
      <c r="AA16" s="1"/>
      <c r="AB16" s="1"/>
      <c r="AC16" s="1"/>
      <c r="AD16" s="1"/>
      <c r="AE16" s="1"/>
      <c r="AF16" s="1"/>
      <c r="AG16" s="1"/>
      <c r="AH16" s="1"/>
      <c r="AI16" s="1"/>
    </row>
    <row r="17" spans="2:35" x14ac:dyDescent="0.35">
      <c r="M17" s="1"/>
      <c r="N17" s="1"/>
      <c r="O17" s="1"/>
      <c r="P17" s="1"/>
      <c r="Q17" s="1"/>
      <c r="R17" s="1"/>
      <c r="S17" s="1"/>
      <c r="T17" s="1"/>
      <c r="U17" s="1"/>
      <c r="V17" s="1"/>
      <c r="W17" s="1"/>
      <c r="X17" s="1"/>
      <c r="Y17" s="1"/>
      <c r="Z17" s="1"/>
      <c r="AA17" s="1"/>
      <c r="AB17" s="1"/>
      <c r="AC17" s="1"/>
      <c r="AD17" s="1"/>
      <c r="AE17" s="1"/>
      <c r="AF17" s="1"/>
      <c r="AG17" s="1"/>
      <c r="AH17" s="1"/>
      <c r="AI17" s="1"/>
    </row>
    <row r="18" spans="2:35" x14ac:dyDescent="0.35">
      <c r="M18" s="1"/>
      <c r="N18" s="1"/>
      <c r="O18" s="1"/>
      <c r="P18" s="1"/>
      <c r="Q18" s="1"/>
      <c r="R18" s="1"/>
      <c r="S18" s="1"/>
      <c r="T18" s="1"/>
      <c r="U18" s="1"/>
      <c r="V18" s="1"/>
      <c r="W18" s="1"/>
      <c r="X18" s="1"/>
      <c r="Y18" s="1"/>
      <c r="Z18" s="1"/>
      <c r="AA18" s="1"/>
      <c r="AB18" s="1"/>
      <c r="AC18" s="1"/>
      <c r="AD18" s="1"/>
      <c r="AE18" s="1"/>
      <c r="AF18" s="1"/>
      <c r="AG18" s="1"/>
      <c r="AH18" s="1"/>
      <c r="AI18" s="1"/>
    </row>
    <row r="19" spans="2:35" x14ac:dyDescent="0.35">
      <c r="B19" s="70"/>
      <c r="M19" s="1"/>
      <c r="N19" s="1"/>
      <c r="O19" s="1"/>
      <c r="P19" s="1"/>
      <c r="Q19" s="1"/>
      <c r="R19" s="1"/>
      <c r="S19" s="1"/>
      <c r="T19" s="1"/>
      <c r="U19" s="1"/>
      <c r="V19" s="1"/>
      <c r="W19" s="1"/>
      <c r="X19" s="1"/>
      <c r="Y19" s="1"/>
      <c r="Z19" s="1"/>
      <c r="AA19" s="1"/>
      <c r="AB19" s="1"/>
      <c r="AC19" s="1"/>
      <c r="AD19" s="1"/>
      <c r="AE19" s="1"/>
      <c r="AF19" s="1"/>
      <c r="AG19" s="1"/>
      <c r="AH19" s="1"/>
      <c r="AI19" s="1"/>
    </row>
    <row r="20" spans="2:35" x14ac:dyDescent="0.35">
      <c r="M20" s="1"/>
      <c r="N20" s="1"/>
      <c r="O20" s="1"/>
      <c r="P20" s="1"/>
      <c r="Q20" s="1"/>
      <c r="R20" s="1"/>
      <c r="S20" s="1"/>
      <c r="T20" s="1"/>
      <c r="U20" s="1"/>
      <c r="V20" s="1"/>
      <c r="W20" s="1"/>
      <c r="X20" s="1"/>
      <c r="Y20" s="1"/>
      <c r="Z20" s="1"/>
      <c r="AA20" s="1"/>
      <c r="AB20" s="1"/>
      <c r="AC20" s="1"/>
      <c r="AD20" s="1"/>
      <c r="AE20" s="1"/>
      <c r="AF20" s="1"/>
      <c r="AG20" s="1"/>
      <c r="AH20" s="1"/>
      <c r="AI20" s="1"/>
    </row>
    <row r="21" spans="2:35" x14ac:dyDescent="0.35">
      <c r="M21" s="1"/>
      <c r="N21" s="1"/>
      <c r="O21" s="1"/>
      <c r="P21" s="1"/>
      <c r="Q21" s="1"/>
      <c r="R21" s="1"/>
      <c r="S21" s="1"/>
      <c r="T21" s="1"/>
      <c r="U21" s="1"/>
      <c r="V21" s="1"/>
      <c r="W21" s="1"/>
      <c r="X21" s="1"/>
      <c r="Y21" s="1"/>
      <c r="Z21" s="1"/>
      <c r="AA21" s="1"/>
      <c r="AB21" s="1"/>
      <c r="AC21" s="1"/>
      <c r="AD21" s="1"/>
      <c r="AE21" s="1"/>
      <c r="AF21" s="1"/>
      <c r="AG21" s="1"/>
      <c r="AH21" s="1"/>
      <c r="AI21" s="1"/>
    </row>
    <row r="22" spans="2:35" x14ac:dyDescent="0.35">
      <c r="M22" s="1"/>
      <c r="N22" s="1"/>
      <c r="O22" s="1"/>
      <c r="P22" s="1"/>
      <c r="Q22" s="1"/>
      <c r="R22" s="1"/>
      <c r="S22" s="1"/>
      <c r="T22" s="1"/>
      <c r="U22" s="1"/>
      <c r="V22" s="1"/>
      <c r="W22" s="1"/>
      <c r="X22" s="1"/>
      <c r="Y22" s="1"/>
      <c r="Z22" s="1"/>
      <c r="AA22" s="1"/>
      <c r="AB22" s="1"/>
      <c r="AC22" s="1"/>
      <c r="AD22" s="1"/>
      <c r="AE22" s="1"/>
      <c r="AF22" s="1"/>
      <c r="AG22" s="1"/>
      <c r="AH22" s="1"/>
      <c r="AI22" s="1"/>
    </row>
    <row r="23" spans="2:35" x14ac:dyDescent="0.35">
      <c r="M23" s="1"/>
      <c r="N23" s="1"/>
      <c r="O23" s="1"/>
      <c r="P23" s="1"/>
      <c r="Q23" s="1"/>
      <c r="R23" s="1"/>
      <c r="S23" s="1"/>
      <c r="T23" s="1"/>
      <c r="U23" s="1"/>
      <c r="V23" s="1"/>
      <c r="W23" s="1"/>
      <c r="X23" s="1"/>
      <c r="Y23" s="1"/>
      <c r="Z23" s="1"/>
      <c r="AA23" s="1"/>
      <c r="AB23" s="1"/>
      <c r="AC23" s="1"/>
      <c r="AD23" s="1"/>
      <c r="AE23" s="1"/>
      <c r="AF23" s="1"/>
      <c r="AG23" s="1"/>
      <c r="AH23" s="1"/>
      <c r="AI23" s="1"/>
    </row>
    <row r="24" spans="2:35" x14ac:dyDescent="0.35">
      <c r="M24" s="1"/>
      <c r="N24" s="1"/>
      <c r="O24" s="1"/>
      <c r="P24" s="1"/>
      <c r="Q24" s="1"/>
      <c r="R24" s="1"/>
      <c r="S24" s="1"/>
      <c r="T24" s="1"/>
      <c r="U24" s="1"/>
      <c r="V24" s="1"/>
      <c r="W24" s="1"/>
      <c r="X24" s="1"/>
      <c r="Y24" s="1"/>
      <c r="Z24" s="1"/>
      <c r="AA24" s="1"/>
      <c r="AB24" s="1"/>
      <c r="AC24" s="1"/>
      <c r="AD24" s="1"/>
      <c r="AE24" s="1"/>
      <c r="AF24" s="1"/>
      <c r="AG24" s="1"/>
      <c r="AH24" s="1"/>
      <c r="AI24" s="1"/>
    </row>
    <row r="25" spans="2:35" x14ac:dyDescent="0.35">
      <c r="M25" s="1"/>
      <c r="N25" s="1"/>
      <c r="O25" s="1"/>
      <c r="P25" s="1"/>
      <c r="Q25" s="1"/>
      <c r="R25" s="1"/>
      <c r="S25" s="1"/>
      <c r="T25" s="1"/>
      <c r="U25" s="1"/>
      <c r="V25" s="1"/>
      <c r="W25" s="1"/>
      <c r="X25" s="1"/>
      <c r="Y25" s="1"/>
      <c r="Z25" s="1"/>
      <c r="AA25" s="1"/>
      <c r="AB25" s="1"/>
      <c r="AC25" s="1"/>
      <c r="AD25" s="1"/>
      <c r="AE25" s="1"/>
      <c r="AF25" s="1"/>
      <c r="AG25" s="1"/>
      <c r="AH25" s="1"/>
      <c r="AI25" s="1"/>
    </row>
    <row r="26" spans="2:35" x14ac:dyDescent="0.35">
      <c r="M26" s="1"/>
      <c r="N26" s="1"/>
      <c r="O26" s="1"/>
      <c r="P26" s="1"/>
      <c r="Q26" s="1"/>
      <c r="R26" s="1"/>
      <c r="S26" s="1"/>
      <c r="T26" s="1"/>
      <c r="U26" s="1"/>
      <c r="V26" s="1"/>
      <c r="W26" s="1"/>
      <c r="X26" s="1"/>
      <c r="Y26" s="1"/>
      <c r="Z26" s="1"/>
      <c r="AA26" s="1"/>
      <c r="AB26" s="1"/>
      <c r="AC26" s="1"/>
      <c r="AD26" s="1"/>
      <c r="AE26" s="1"/>
      <c r="AF26" s="1"/>
      <c r="AG26" s="1"/>
      <c r="AH26" s="1"/>
      <c r="AI26" s="1"/>
    </row>
    <row r="27" spans="2:35" x14ac:dyDescent="0.35">
      <c r="M27" s="1"/>
      <c r="N27" s="1"/>
      <c r="O27" s="1"/>
      <c r="P27" s="1"/>
      <c r="Q27" s="1"/>
      <c r="R27" s="1"/>
      <c r="S27" s="1"/>
      <c r="T27" s="1"/>
      <c r="U27" s="1"/>
      <c r="V27" s="1"/>
      <c r="W27" s="1"/>
      <c r="X27" s="1"/>
      <c r="Y27" s="1"/>
      <c r="Z27" s="1"/>
      <c r="AA27" s="1"/>
      <c r="AB27" s="1"/>
      <c r="AC27" s="1"/>
      <c r="AD27" s="1"/>
      <c r="AE27" s="1"/>
      <c r="AF27" s="1"/>
      <c r="AG27" s="1"/>
      <c r="AH27" s="1"/>
      <c r="AI27" s="1"/>
    </row>
    <row r="28" spans="2:35" x14ac:dyDescent="0.35">
      <c r="M28" s="1"/>
      <c r="N28" s="1"/>
      <c r="O28" s="1"/>
      <c r="P28" s="1"/>
      <c r="Q28" s="1"/>
      <c r="R28" s="1"/>
      <c r="S28" s="1"/>
      <c r="T28" s="1"/>
      <c r="U28" s="1"/>
      <c r="V28" s="1"/>
      <c r="W28" s="1"/>
      <c r="X28" s="1"/>
      <c r="Y28" s="1"/>
      <c r="Z28" s="1"/>
      <c r="AA28" s="1"/>
      <c r="AB28" s="1"/>
      <c r="AC28" s="1"/>
      <c r="AD28" s="1"/>
      <c r="AE28" s="1"/>
      <c r="AF28" s="1"/>
      <c r="AG28" s="1"/>
      <c r="AH28" s="1"/>
      <c r="AI28" s="1"/>
    </row>
    <row r="29" spans="2:35" x14ac:dyDescent="0.35">
      <c r="M29" s="1"/>
      <c r="N29" s="1"/>
      <c r="O29" s="1"/>
      <c r="P29" s="1"/>
      <c r="Q29" s="1"/>
      <c r="R29" s="1"/>
      <c r="S29" s="1"/>
      <c r="T29" s="1"/>
      <c r="U29" s="1"/>
      <c r="V29" s="1"/>
      <c r="W29" s="1"/>
      <c r="X29" s="1"/>
      <c r="Y29" s="1"/>
      <c r="Z29" s="1"/>
      <c r="AA29" s="1"/>
      <c r="AB29" s="1"/>
      <c r="AC29" s="1"/>
      <c r="AD29" s="1"/>
      <c r="AE29" s="1"/>
      <c r="AF29" s="1"/>
      <c r="AG29" s="1"/>
      <c r="AH29" s="1"/>
      <c r="AI29" s="1"/>
    </row>
    <row r="30" spans="2:35" x14ac:dyDescent="0.35">
      <c r="M30" s="1"/>
      <c r="N30" s="1"/>
      <c r="O30" s="1"/>
      <c r="P30" s="1"/>
      <c r="Q30" s="1"/>
      <c r="R30" s="1"/>
      <c r="S30" s="1"/>
      <c r="T30" s="1"/>
      <c r="U30" s="1"/>
      <c r="V30" s="1"/>
      <c r="W30" s="1"/>
      <c r="X30" s="1"/>
      <c r="Y30" s="1"/>
      <c r="Z30" s="1"/>
      <c r="AA30" s="1"/>
      <c r="AB30" s="1"/>
      <c r="AC30" s="1"/>
      <c r="AD30" s="1"/>
      <c r="AE30" s="1"/>
      <c r="AF30" s="1"/>
      <c r="AG30" s="1"/>
      <c r="AH30" s="1"/>
      <c r="AI30" s="1"/>
    </row>
    <row r="31" spans="2:35" x14ac:dyDescent="0.35">
      <c r="M31" s="1"/>
      <c r="N31" s="1"/>
      <c r="O31" s="1"/>
      <c r="P31" s="1"/>
      <c r="Q31" s="1"/>
      <c r="R31" s="1"/>
      <c r="S31" s="1"/>
      <c r="T31" s="1"/>
      <c r="U31" s="1"/>
      <c r="V31" s="1"/>
      <c r="W31" s="1"/>
      <c r="X31" s="1"/>
      <c r="Y31" s="1"/>
      <c r="Z31" s="1"/>
      <c r="AA31" s="1"/>
      <c r="AB31" s="1"/>
      <c r="AC31" s="1"/>
      <c r="AD31" s="1"/>
      <c r="AE31" s="1"/>
      <c r="AF31" s="1"/>
      <c r="AG31" s="1"/>
      <c r="AH31" s="1"/>
      <c r="AI31" s="1"/>
    </row>
    <row r="32" spans="2:35" x14ac:dyDescent="0.35">
      <c r="M32" s="1"/>
      <c r="N32" s="1"/>
      <c r="O32" s="1"/>
      <c r="P32" s="1"/>
      <c r="Q32" s="1"/>
      <c r="R32" s="1"/>
      <c r="S32" s="1"/>
      <c r="T32" s="1"/>
      <c r="U32" s="1"/>
      <c r="V32" s="1"/>
      <c r="W32" s="1"/>
      <c r="X32" s="1"/>
      <c r="Y32" s="1"/>
      <c r="Z32" s="1"/>
      <c r="AA32" s="1"/>
      <c r="AB32" s="1"/>
      <c r="AC32" s="1"/>
      <c r="AD32" s="1"/>
      <c r="AE32" s="1"/>
      <c r="AF32" s="1"/>
      <c r="AG32" s="1"/>
      <c r="AH32" s="1"/>
      <c r="AI32" s="1"/>
    </row>
    <row r="33" spans="13:35" x14ac:dyDescent="0.35">
      <c r="M33" s="1"/>
      <c r="N33" s="1"/>
      <c r="O33" s="1"/>
      <c r="P33" s="1"/>
      <c r="Q33" s="1"/>
      <c r="R33" s="1"/>
      <c r="S33" s="1"/>
      <c r="T33" s="1"/>
      <c r="U33" s="1"/>
      <c r="V33" s="1"/>
      <c r="W33" s="1"/>
      <c r="X33" s="1"/>
      <c r="Y33" s="1"/>
      <c r="Z33" s="1"/>
      <c r="AA33" s="1"/>
      <c r="AB33" s="1"/>
      <c r="AC33" s="1"/>
      <c r="AD33" s="1"/>
      <c r="AE33" s="1"/>
      <c r="AF33" s="1"/>
      <c r="AG33" s="1"/>
      <c r="AH33" s="1"/>
      <c r="AI33" s="1"/>
    </row>
    <row r="34" spans="13:35" x14ac:dyDescent="0.35">
      <c r="M34" s="1"/>
      <c r="N34" s="1"/>
      <c r="O34" s="1"/>
      <c r="P34" s="1"/>
      <c r="Q34" s="1"/>
      <c r="R34" s="1"/>
      <c r="S34" s="1"/>
      <c r="T34" s="1"/>
      <c r="U34" s="1"/>
      <c r="V34" s="1"/>
      <c r="W34" s="1"/>
      <c r="X34" s="1"/>
      <c r="Y34" s="1"/>
      <c r="Z34" s="1"/>
      <c r="AA34" s="1"/>
      <c r="AB34" s="1"/>
      <c r="AC34" s="1"/>
      <c r="AD34" s="1"/>
      <c r="AE34" s="1"/>
      <c r="AF34" s="1"/>
      <c r="AG34" s="1"/>
      <c r="AH34" s="1"/>
      <c r="AI34" s="1"/>
    </row>
  </sheetData>
  <sheetProtection algorithmName="SHA-512" hashValue="t9RlUMhK3lSVc6+Q3WABJnXDN2Iqa8hHFV/CQ+hfTbqVCh6Dju71OfJfDb8kJrmSykbOHomRoNssJpuhuj5OeA==" saltValue="0koZNGMXkJP/7USl+4TbMw==" spinCount="100000" sheet="1" objects="1" scenarios="1"/>
  <mergeCells count="7">
    <mergeCell ref="A1:C1"/>
    <mergeCell ref="Y5:AA5"/>
    <mergeCell ref="AD5:AG5"/>
    <mergeCell ref="P5:Q5"/>
    <mergeCell ref="R4:R5"/>
    <mergeCell ref="O4:O5"/>
    <mergeCell ref="M5:N5"/>
  </mergeCells>
  <phoneticPr fontId="15" type="noConversion"/>
  <dataValidations xWindow="384" yWindow="557" count="16">
    <dataValidation allowBlank="1" showInputMessage="1" promptTitle="DQ Width" prompt="Available x8 and x16 selection" sqref="C6" xr:uid="{B60F1348-0EA2-4D17-8F0E-AAF71E4E995C}"/>
    <dataValidation type="list" allowBlank="1" showInputMessage="1" showErrorMessage="1" error="Please insert valid selection from the drop down menu only" sqref="D7" xr:uid="{407B0261-6954-449D-B00C-946B499ED61D}">
      <formula1>$D$11</formula1>
    </dataValidation>
    <dataValidation type="decimal" allowBlank="1" showInputMessage="1" showErrorMessage="1" error="Valid range from 0-100%_x000a_" sqref="G7" xr:uid="{D0D3C3B7-22A1-479E-BDAA-E680897ABCB9}">
      <formula1>0</formula1>
      <formula2>100</formula2>
    </dataValidation>
    <dataValidation allowBlank="1" showInputMessage="1" showErrorMessage="1" error="Valid range from 0-100%_x000a_" sqref="I7" xr:uid="{15AEF99F-6014-4EC6-B2F4-CC8807D0DAED}"/>
    <dataValidation allowBlank="1" prompt="If&quot;-&quot; meant more than 1 DDR interface are selected" sqref="B3" xr:uid="{989B1021-BE63-442C-9419-063E12D32B59}"/>
    <dataValidation allowBlank="1" showInputMessage="1" promptTitle="AXI Interface" prompt="Only available x128 selection" sqref="D6" xr:uid="{AAE829C6-AD6D-46CE-A9C8-D00914A8DE65}"/>
    <dataValidation allowBlank="1" showInputMessage="1" showErrorMessage="1" promptTitle="% in read mode" prompt="Valid range from 0-100%_x000a_" sqref="F6" xr:uid="{9A0A2F25-1595-49FB-8615-9F9ED837E449}"/>
    <dataValidation allowBlank="1" showInputMessage="1" showErrorMessage="1" promptTitle="% of write mode" prompt="Valid range from 0-100%" sqref="G6" xr:uid="{5F3D6213-14B6-4AC0-8B80-40AF11B9171B}"/>
    <dataValidation type="decimal" allowBlank="1" showInputMessage="1" showErrorMessage="1" error="Valid range from 0Mbps - 1066Mbps" sqref="E7" xr:uid="{64B9A876-1C5F-4813-8B8C-60462177E0CD}">
      <formula1>0</formula1>
      <formula2>1066</formula2>
    </dataValidation>
    <dataValidation type="list" allowBlank="1" showInputMessage="1" showErrorMessage="1" error="Please insert valid selection from the drop down menu only" sqref="C7" xr:uid="{A6F02728-BCE5-4251-9ECD-2EF93482A6FF}">
      <formula1>$C$11:$C$12</formula1>
    </dataValidation>
    <dataValidation allowBlank="1" showInputMessage="1" showErrorMessage="1" promptTitle="DDR Type" prompt="&quot;None&quot; meant gounded the VDDQ power domain_x000a_ " sqref="B6" xr:uid="{4472C012-35A0-46FC-B825-025C3EFCA51F}"/>
    <dataValidation allowBlank="1" showInputMessage="1" showErrorMessage="1" promptTitle="Data Rate (Mbps)" prompt="Valid range from 0 - 1066Mbps" sqref="E6" xr:uid="{4D773C6E-0079-4999-822F-EC4146C7A0B0}"/>
    <dataValidation type="list" allowBlank="1" showInputMessage="1" showErrorMessage="1" sqref="B7" xr:uid="{3AE4AAB6-5669-4311-A73C-427CC6054426}">
      <formula1>$B$11:$B$15</formula1>
    </dataValidation>
    <dataValidation allowBlank="1" showInputMessage="1" showErrorMessage="1" promptTitle="VCO Frequency" sqref="I6" xr:uid="{3889D2F5-7B61-4ED7-908D-6A5BD8DE11F8}"/>
    <dataValidation type="decimal" allowBlank="1" showInputMessage="1" showErrorMessage="1" error="Only valid from 0% - 100%_x000a__x000a_" sqref="F7 H7" xr:uid="{E9E132AF-7D1D-4BC2-AD4A-1E54257E7C59}">
      <formula1>0</formula1>
      <formula2>100</formula2>
    </dataValidation>
    <dataValidation allowBlank="1" showInputMessage="1" showErrorMessage="1" promptTitle="% of write mode" prompt="Valid range from 0 - 100%. The output change value with respect to the clock cycle. An AF of 100% meant DDR controller is sending or receiving data every clock cycle" sqref="H6" xr:uid="{F5BABDA4-08ED-4A2C-8C62-ABE34E12303B}"/>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DE669-6559-4D68-A1FE-92C62BE31722}">
  <sheetPr codeName="Sheet12"/>
  <dimension ref="A1:E10"/>
  <sheetViews>
    <sheetView showGridLines="0" showRowColHeaders="0" workbookViewId="0">
      <selection sqref="A1:C1"/>
    </sheetView>
  </sheetViews>
  <sheetFormatPr defaultRowHeight="14.5" x14ac:dyDescent="0.35"/>
  <cols>
    <col min="1" max="1" width="13.453125" customWidth="1"/>
    <col min="2" max="3" width="21.26953125" customWidth="1"/>
    <col min="4" max="4" width="12.453125" customWidth="1"/>
    <col min="5" max="5" width="20.26953125" customWidth="1"/>
  </cols>
  <sheetData>
    <row r="1" spans="1:5" ht="26" x14ac:dyDescent="0.35">
      <c r="A1" s="202" t="s">
        <v>322</v>
      </c>
      <c r="B1" s="202"/>
      <c r="C1" s="202"/>
      <c r="D1" s="1"/>
      <c r="E1" s="1"/>
    </row>
    <row r="2" spans="1:5" ht="21" x14ac:dyDescent="0.5">
      <c r="A2" s="102" t="s">
        <v>97</v>
      </c>
      <c r="B2" s="103">
        <v>3.3</v>
      </c>
      <c r="C2" s="104">
        <f>D5</f>
        <v>6.6000000000000003E-2</v>
      </c>
      <c r="D2" s="1"/>
      <c r="E2" s="1"/>
    </row>
    <row r="3" spans="1:5" x14ac:dyDescent="0.35">
      <c r="A3" s="1"/>
      <c r="B3" s="1"/>
      <c r="C3" s="1"/>
      <c r="D3" s="1"/>
      <c r="E3" s="1"/>
    </row>
    <row r="4" spans="1:5" x14ac:dyDescent="0.35">
      <c r="A4" s="105" t="s">
        <v>328</v>
      </c>
      <c r="B4" s="101" t="s">
        <v>324</v>
      </c>
      <c r="C4" s="101" t="s">
        <v>330</v>
      </c>
      <c r="D4" s="105" t="s">
        <v>88</v>
      </c>
    </row>
    <row r="5" spans="1:5" x14ac:dyDescent="0.35">
      <c r="A5" s="75" t="s">
        <v>326</v>
      </c>
      <c r="B5" s="107">
        <f>0.02*B2</f>
        <v>6.6000000000000003E-2</v>
      </c>
      <c r="C5" s="107">
        <f>IF(A5="Operating",20*B2,0)</f>
        <v>0</v>
      </c>
      <c r="D5" s="107">
        <f>B5+C5</f>
        <v>6.6000000000000003E-2</v>
      </c>
    </row>
    <row r="7" spans="1:5" hidden="1" x14ac:dyDescent="0.35">
      <c r="A7" t="s">
        <v>33</v>
      </c>
    </row>
    <row r="8" spans="1:5" hidden="1" x14ac:dyDescent="0.35">
      <c r="A8" t="s">
        <v>329</v>
      </c>
    </row>
    <row r="9" spans="1:5" hidden="1" x14ac:dyDescent="0.35">
      <c r="A9" s="25" t="s">
        <v>326</v>
      </c>
    </row>
    <row r="10" spans="1:5" hidden="1" x14ac:dyDescent="0.35">
      <c r="A10" s="25" t="s">
        <v>327</v>
      </c>
    </row>
  </sheetData>
  <sheetProtection algorithmName="SHA-512" hashValue="z+GBcnFFavRAhMQhhGOTdXlxbT63lxVv4IcPuFEnmuXEBdkHXLOpXCVS3Q+wIcGzE2vrTr3Eg2sj8eBxGej06A==" saltValue="F4bdTaSmpoX5JMZ5lZeA4g==" spinCount="100000" sheet="1" objects="1" scenarios="1"/>
  <mergeCells count="1">
    <mergeCell ref="A1:C1"/>
  </mergeCells>
  <dataValidations count="1">
    <dataValidation type="list" allowBlank="1" showInputMessage="1" showErrorMessage="1" sqref="A5" xr:uid="{9DCC8AC1-5488-4B08-A711-499852C95D78}">
      <formula1>$A$9:$A$10</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C5BA9-6A87-4BA6-8F0B-4D5553453595}">
  <sheetPr codeName="Sheet14"/>
  <dimension ref="A1:D23"/>
  <sheetViews>
    <sheetView showGridLines="0" showRowColHeaders="0" workbookViewId="0">
      <selection activeCell="B3" sqref="B3:D3"/>
    </sheetView>
  </sheetViews>
  <sheetFormatPr defaultRowHeight="14.5" x14ac:dyDescent="0.35"/>
  <cols>
    <col min="2" max="2" width="12.81640625" customWidth="1"/>
    <col min="3" max="3" width="9.7265625" customWidth="1"/>
    <col min="4" max="4" width="101" customWidth="1"/>
  </cols>
  <sheetData>
    <row r="1" spans="1:4" x14ac:dyDescent="0.35">
      <c r="A1" s="1"/>
      <c r="B1" s="1"/>
      <c r="C1" s="1"/>
      <c r="D1" s="1"/>
    </row>
    <row r="2" spans="1:4" x14ac:dyDescent="0.35">
      <c r="A2" s="1"/>
      <c r="B2" s="1"/>
      <c r="C2" s="1"/>
      <c r="D2" s="1"/>
    </row>
    <row r="3" spans="1:4" ht="26" x14ac:dyDescent="0.6">
      <c r="A3" s="1"/>
      <c r="B3" s="221" t="s">
        <v>196</v>
      </c>
      <c r="C3" s="221"/>
      <c r="D3" s="221"/>
    </row>
    <row r="4" spans="1:4" x14ac:dyDescent="0.35">
      <c r="A4" s="1"/>
      <c r="B4" s="77" t="s">
        <v>228</v>
      </c>
      <c r="C4" s="77" t="s">
        <v>197</v>
      </c>
      <c r="D4" s="77" t="s">
        <v>198</v>
      </c>
    </row>
    <row r="5" spans="1:4" hidden="1" x14ac:dyDescent="0.35">
      <c r="A5" s="1"/>
      <c r="B5" s="119"/>
      <c r="C5" s="78">
        <v>0.1</v>
      </c>
      <c r="D5" s="118" t="s">
        <v>209</v>
      </c>
    </row>
    <row r="6" spans="1:4" hidden="1" x14ac:dyDescent="0.35">
      <c r="A6" s="1"/>
      <c r="B6" s="119"/>
      <c r="C6" s="79">
        <v>0.2</v>
      </c>
      <c r="D6" s="118" t="s">
        <v>210</v>
      </c>
    </row>
    <row r="7" spans="1:4" hidden="1" x14ac:dyDescent="0.35">
      <c r="A7" s="1"/>
      <c r="B7" s="119"/>
      <c r="C7" s="79">
        <v>0.3</v>
      </c>
      <c r="D7" s="118" t="s">
        <v>211</v>
      </c>
    </row>
    <row r="8" spans="1:4" hidden="1" x14ac:dyDescent="0.35">
      <c r="A8" s="1"/>
      <c r="B8" s="119"/>
      <c r="C8" s="79">
        <v>0.4</v>
      </c>
      <c r="D8" s="118" t="s">
        <v>212</v>
      </c>
    </row>
    <row r="9" spans="1:4" hidden="1" x14ac:dyDescent="0.35">
      <c r="A9" s="1"/>
      <c r="B9" s="119"/>
      <c r="C9" s="79">
        <v>0.5</v>
      </c>
      <c r="D9" s="118" t="s">
        <v>213</v>
      </c>
    </row>
    <row r="10" spans="1:4" hidden="1" x14ac:dyDescent="0.35">
      <c r="A10" s="1"/>
      <c r="B10" s="119"/>
      <c r="C10" s="79">
        <v>0.6</v>
      </c>
      <c r="D10" s="118" t="s">
        <v>214</v>
      </c>
    </row>
    <row r="11" spans="1:4" hidden="1" x14ac:dyDescent="0.35">
      <c r="A11" s="1"/>
      <c r="B11" s="119"/>
      <c r="C11" s="79">
        <v>0.7</v>
      </c>
      <c r="D11" s="118" t="s">
        <v>215</v>
      </c>
    </row>
    <row r="12" spans="1:4" hidden="1" x14ac:dyDescent="0.35">
      <c r="A12" s="1"/>
      <c r="B12" s="119"/>
      <c r="C12" s="79">
        <v>0.8</v>
      </c>
      <c r="D12" s="117" t="s">
        <v>216</v>
      </c>
    </row>
    <row r="13" spans="1:4" hidden="1" x14ac:dyDescent="0.35">
      <c r="A13" s="1"/>
      <c r="B13" s="119"/>
      <c r="C13" s="79">
        <v>0.9</v>
      </c>
      <c r="D13" s="118" t="s">
        <v>217</v>
      </c>
    </row>
    <row r="14" spans="1:4" ht="43.5" hidden="1" x14ac:dyDescent="0.35">
      <c r="A14" s="1"/>
      <c r="B14" s="119"/>
      <c r="C14" s="78">
        <v>1</v>
      </c>
      <c r="D14" s="117" t="s">
        <v>221</v>
      </c>
    </row>
    <row r="15" spans="1:4" x14ac:dyDescent="0.35">
      <c r="A15" s="1"/>
      <c r="B15" s="120">
        <v>44019</v>
      </c>
      <c r="C15" s="78">
        <v>2</v>
      </c>
      <c r="D15" s="118" t="s">
        <v>223</v>
      </c>
    </row>
    <row r="16" spans="1:4" ht="58" x14ac:dyDescent="0.35">
      <c r="A16" s="1"/>
      <c r="B16" s="121">
        <v>44207</v>
      </c>
      <c r="C16" s="79">
        <v>2.1</v>
      </c>
      <c r="D16" s="117" t="s">
        <v>230</v>
      </c>
    </row>
    <row r="17" spans="1:4" x14ac:dyDescent="0.35">
      <c r="A17" s="1"/>
      <c r="B17" s="121">
        <v>44305</v>
      </c>
      <c r="C17" s="78">
        <v>3</v>
      </c>
      <c r="D17" s="117" t="s">
        <v>235</v>
      </c>
    </row>
    <row r="18" spans="1:4" x14ac:dyDescent="0.35">
      <c r="A18" s="1"/>
      <c r="B18" s="121">
        <v>44438</v>
      </c>
      <c r="C18" s="78">
        <v>4</v>
      </c>
      <c r="D18" s="151" t="s">
        <v>237</v>
      </c>
    </row>
    <row r="19" spans="1:4" x14ac:dyDescent="0.35">
      <c r="A19" s="1"/>
      <c r="B19" s="121">
        <v>44666</v>
      </c>
      <c r="C19" s="78">
        <v>4.0999999999999996</v>
      </c>
      <c r="D19" s="151" t="s">
        <v>319</v>
      </c>
    </row>
    <row r="20" spans="1:4" ht="58" x14ac:dyDescent="0.35">
      <c r="A20" s="1"/>
      <c r="B20" s="121">
        <v>44895</v>
      </c>
      <c r="C20" s="79">
        <v>4.2</v>
      </c>
      <c r="D20" s="125" t="s">
        <v>247</v>
      </c>
    </row>
    <row r="21" spans="1:4" x14ac:dyDescent="0.35">
      <c r="B21" s="155">
        <v>45027</v>
      </c>
      <c r="C21" s="78">
        <v>4.3</v>
      </c>
      <c r="D21" s="138" t="s">
        <v>334</v>
      </c>
    </row>
    <row r="22" spans="1:4" x14ac:dyDescent="0.35">
      <c r="B22" s="161">
        <v>45211</v>
      </c>
      <c r="C22" s="162">
        <v>4.4000000000000004</v>
      </c>
      <c r="D22" s="163" t="s">
        <v>335</v>
      </c>
    </row>
    <row r="23" spans="1:4" x14ac:dyDescent="0.35">
      <c r="B23" s="156">
        <v>45849</v>
      </c>
      <c r="C23" s="78">
        <v>4.5</v>
      </c>
      <c r="D23" s="164" t="s">
        <v>336</v>
      </c>
    </row>
  </sheetData>
  <sheetProtection algorithmName="SHA-512" hashValue="npY+ZzuSmWpRLX1zHeAhScZtU02zjM7lDeeRgTC6tV10x650f5vUaZXCwYvgQC4b8H6Zi2blu4JM3Vd2G5nu9A==" saltValue="oplQ3FNwibcIp7iXMFQSKg==" spinCount="100000" sheet="1" objects="1" scenarios="1"/>
  <mergeCells count="1">
    <mergeCell ref="B3:D3"/>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ikesCount xmlns="http://schemas.microsoft.com/sharepoint/v3" xsi:nil="true"/>
    <Ratings xmlns="http://schemas.microsoft.com/sharepoint/v3" xsi:nil="true"/>
    <LikedBy xmlns="http://schemas.microsoft.com/sharepoint/v3">
      <UserInfo>
        <DisplayName/>
        <AccountId xsi:nil="true"/>
        <AccountType/>
      </UserInfo>
    </LikedBy>
    <RatedBy xmlns="http://schemas.microsoft.com/sharepoint/v3">
      <UserInfo>
        <DisplayName/>
        <AccountId xsi:nil="true"/>
        <AccountType/>
      </UserInfo>
    </RatedBy>
    <SharedWithUsers xmlns="3e1e7046-65b5-43ad-8087-f96f42dd0ebd">
      <UserInfo>
        <DisplayName/>
        <AccountId xsi:nil="true"/>
        <AccountType/>
      </UserInfo>
    </SharedWithUsers>
    <_Flow_SignoffStatus xmlns="f7f75595-742f-4086-aae6-402fb052e724"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3215B56E707B5B45AB4481360F3156DA" ma:contentTypeVersion="19" ma:contentTypeDescription="Create a new document." ma:contentTypeScope="" ma:versionID="12b9027f629fba67eac87a40653cd755">
  <xsd:schema xmlns:xsd="http://www.w3.org/2001/XMLSchema" xmlns:xs="http://www.w3.org/2001/XMLSchema" xmlns:p="http://schemas.microsoft.com/office/2006/metadata/properties" xmlns:ns1="http://schemas.microsoft.com/sharepoint/v3" xmlns:ns2="f7f75595-742f-4086-aae6-402fb052e724" xmlns:ns3="3e1e7046-65b5-43ad-8087-f96f42dd0ebd" targetNamespace="http://schemas.microsoft.com/office/2006/metadata/properties" ma:root="true" ma:fieldsID="a1b4341784e88157dea7a49048dca5a0" ns1:_="" ns2:_="" ns3:_="">
    <xsd:import namespace="http://schemas.microsoft.com/sharepoint/v3"/>
    <xsd:import namespace="f7f75595-742f-4086-aae6-402fb052e724"/>
    <xsd:import namespace="3e1e7046-65b5-43ad-8087-f96f42dd0eb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Location" minOccurs="0"/>
                <xsd:element ref="ns2:MediaServiceAutoTags" minOccurs="0"/>
                <xsd:element ref="ns2:MediaServiceOCR" minOccurs="0"/>
                <xsd:element ref="ns1:AverageRating" minOccurs="0"/>
                <xsd:element ref="ns1:RatingCount" minOccurs="0"/>
                <xsd:element ref="ns1:RatedBy" minOccurs="0"/>
                <xsd:element ref="ns1:Ratings" minOccurs="0"/>
                <xsd:element ref="ns1:LikesCount" minOccurs="0"/>
                <xsd:element ref="ns1:LikedBy" minOccurs="0"/>
                <xsd:element ref="ns2:MediaServiceEventHashCode" minOccurs="0"/>
                <xsd:element ref="ns2:MediaServiceGenerationTime" minOccurs="0"/>
                <xsd:element ref="ns2:MediaServiceAutoKeyPoints" minOccurs="0"/>
                <xsd:element ref="ns2:MediaServiceKeyPoints" minOccurs="0"/>
                <xsd:element ref="ns2:_Flow_SignoffStatu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AverageRating" ma:index="16" nillable="true" ma:displayName="Rating (0-5)" ma:decimals="2" ma:description="Average value of all the ratings that have been submitted" ma:internalName="AverageRating" ma:readOnly="true">
      <xsd:simpleType>
        <xsd:restriction base="dms:Number"/>
      </xsd:simpleType>
    </xsd:element>
    <xsd:element name="RatingCount" ma:index="17" nillable="true" ma:displayName="Number of Ratings" ma:decimals="0" ma:description="Number of ratings submitted" ma:internalName="RatingCount" ma:readOnly="true">
      <xsd:simpleType>
        <xsd:restriction base="dms:Number"/>
      </xsd:simpleType>
    </xsd:element>
    <xsd:element name="RatedBy" ma:index="18" nillable="true" ma:displayName="Rated By" ma:description="Users rated the item." ma:hidden="true" ma:list="UserInfo" ma:internalName="RatedBy">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atings" ma:index="19" nillable="true" ma:displayName="User ratings" ma:description="User ratings for the item" ma:hidden="true" ma:internalName="Ratings">
      <xsd:simpleType>
        <xsd:restriction base="dms:Note"/>
      </xsd:simpleType>
    </xsd:element>
    <xsd:element name="LikesCount" ma:index="20" nillable="true" ma:displayName="Number of Likes" ma:internalName="LikesCount">
      <xsd:simpleType>
        <xsd:restriction base="dms:Unknown"/>
      </xsd:simpleType>
    </xsd:element>
    <xsd:element name="LikedBy" ma:index="21" nillable="true" ma:displayName="Liked By" ma:hidden="true" ma:list="UserInfo" ma:internalName="LikedBy">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f7f75595-742f-4086-aae6-402fb052e7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MediaServiceLocation" ma:internalName="MediaServiceLocation" ma:readOnly="true">
      <xsd:simpleType>
        <xsd:restriction base="dms:Text"/>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EventHashCode" ma:index="22" nillable="true" ma:displayName="MediaServiceEventHashCode" ma:hidden="true" ma:internalName="MediaServiceEventHashCode" ma:readOnly="true">
      <xsd:simpleType>
        <xsd:restriction base="dms:Text"/>
      </xsd:simpleType>
    </xsd:element>
    <xsd:element name="MediaServiceGenerationTime" ma:index="23" nillable="true" ma:displayName="MediaServiceGenerationTime" ma:hidden="true" ma:internalName="MediaServiceGenerationTime" ma:readOnly="true">
      <xsd:simpleType>
        <xsd:restriction base="dms:Text"/>
      </xsd:simpleType>
    </xsd:element>
    <xsd:element name="MediaServiceAutoKeyPoints" ma:index="24" nillable="true" ma:displayName="MediaServiceAutoKeyPoints" ma:hidden="true" ma:internalName="MediaServiceAutoKeyPoints" ma:readOnly="true">
      <xsd:simpleType>
        <xsd:restriction base="dms:Note"/>
      </xsd:simpleType>
    </xsd:element>
    <xsd:element name="MediaServiceKeyPoints" ma:index="25" nillable="true" ma:displayName="KeyPoints" ma:internalName="MediaServiceKeyPoints" ma:readOnly="true">
      <xsd:simpleType>
        <xsd:restriction base="dms:Note">
          <xsd:maxLength value="255"/>
        </xsd:restriction>
      </xsd:simpleType>
    </xsd:element>
    <xsd:element name="_Flow_SignoffStatus" ma:index="26" nillable="true" ma:displayName="Sign-off status" ma:internalName="Sign_x002d_off_x0020_status">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e1e7046-65b5-43ad-8087-f96f42dd0ebd"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D99939A-0849-4D29-9F97-9B3BF6EB992F}">
  <ds:schemaRefs>
    <ds:schemaRef ds:uri="http://schemas.microsoft.com/sharepoint/v3/contenttype/forms"/>
  </ds:schemaRefs>
</ds:datastoreItem>
</file>

<file path=customXml/itemProps2.xml><?xml version="1.0" encoding="utf-8"?>
<ds:datastoreItem xmlns:ds="http://schemas.openxmlformats.org/officeDocument/2006/customXml" ds:itemID="{8CF421D3-EE48-4DEC-88D4-DA91B5C9BF96}">
  <ds:schemaRefs>
    <ds:schemaRef ds:uri="http://purl.org/dc/elements/1.1/"/>
    <ds:schemaRef ds:uri="http://purl.org/dc/dcmitype/"/>
    <ds:schemaRef ds:uri="http://schemas.microsoft.com/office/2006/documentManagement/types"/>
    <ds:schemaRef ds:uri="http://schemas.microsoft.com/office/2006/metadata/properties"/>
    <ds:schemaRef ds:uri="http://schemas.microsoft.com/office/infopath/2007/PartnerControls"/>
    <ds:schemaRef ds:uri="f7f75595-742f-4086-aae6-402fb052e724"/>
    <ds:schemaRef ds:uri="3e1e7046-65b5-43ad-8087-f96f42dd0ebd"/>
    <ds:schemaRef ds:uri="http://www.w3.org/XML/1998/namespace"/>
    <ds:schemaRef ds:uri="http://schemas.openxmlformats.org/package/2006/metadata/core-properties"/>
    <ds:schemaRef ds:uri="http://schemas.microsoft.com/sharepoint/v3"/>
    <ds:schemaRef ds:uri="http://purl.org/dc/terms/"/>
  </ds:schemaRefs>
</ds:datastoreItem>
</file>

<file path=customXml/itemProps3.xml><?xml version="1.0" encoding="utf-8"?>
<ds:datastoreItem xmlns:ds="http://schemas.openxmlformats.org/officeDocument/2006/customXml" ds:itemID="{F76AD240-9D9B-4EBA-AF81-EAB6A0A211B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f7f75595-742f-4086-aae6-402fb052e724"/>
    <ds:schemaRef ds:uri="3e1e7046-65b5-43ad-8087-f96f42dd0eb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11</vt:i4>
      </vt:variant>
    </vt:vector>
  </HeadingPairs>
  <TitlesOfParts>
    <vt:vector size="23" baseType="lpstr">
      <vt:lpstr>Total</vt:lpstr>
      <vt:lpstr>Error Combinations</vt:lpstr>
      <vt:lpstr>Logic</vt:lpstr>
      <vt:lpstr>Memory</vt:lpstr>
      <vt:lpstr>Multiplier</vt:lpstr>
      <vt:lpstr>Clock</vt:lpstr>
      <vt:lpstr>IO</vt:lpstr>
      <vt:lpstr>PLL</vt:lpstr>
      <vt:lpstr>MIPI</vt:lpstr>
      <vt:lpstr>DDR</vt:lpstr>
      <vt:lpstr>Flash</vt:lpstr>
      <vt:lpstr>Revision History</vt:lpstr>
      <vt:lpstr>cooling</vt:lpstr>
      <vt:lpstr>device</vt:lpstr>
      <vt:lpstr>F169_</vt:lpstr>
      <vt:lpstr>hide</vt:lpstr>
      <vt:lpstr>new</vt:lpstr>
      <vt:lpstr>NoLVDS</vt:lpstr>
      <vt:lpstr>Package</vt:lpstr>
      <vt:lpstr>SG_AutomotiveEn</vt:lpstr>
      <vt:lpstr>SG_IndustrialOnly</vt:lpstr>
      <vt:lpstr>SG_STD</vt:lpstr>
      <vt:lpstr>withLVDS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mwoo</dc:creator>
  <cp:keywords/>
  <dc:description/>
  <cp:lastModifiedBy>matthew murray</cp:lastModifiedBy>
  <cp:revision/>
  <dcterms:created xsi:type="dcterms:W3CDTF">2018-09-18T17:13:34Z</dcterms:created>
  <dcterms:modified xsi:type="dcterms:W3CDTF">2026-09-16T02:44:59Z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0x0101003215B56E707B5B45AB4481360F3156DA</vt:lpwstr>
  </property>
  <property fmtid="{D5CDD505-2E9C-101B-9397-08002B2CF9AE}" pid="3" name="Order">
    <vt:r8>5611400</vt:r8>
  </property>
  <property fmtid="{D5CDD505-2E9C-101B-9397-08002B2CF9AE}" pid="4" name="xd_Signature">
    <vt:bool>false</vt:bool>
  </property>
  <property fmtid="{D5CDD505-2E9C-101B-9397-08002B2CF9AE}" pid="5" name="AuthorIds_UIVersion_4096">
    <vt:lpwstr>30</vt:lpwstr>
  </property>
  <property fmtid="{D5CDD505-2E9C-101B-9397-08002B2CF9AE}" pid="6" name="xd_ProgID">
    <vt:lpwstr/>
  </property>
  <property fmtid="{D5CDD505-2E9C-101B-9397-08002B2CF9AE}" pid="7" name="ComplianceAssetId">
    <vt:lpwstr/>
  </property>
  <property fmtid="{D5CDD505-2E9C-101B-9397-08002B2CF9AE}" pid="8" name="TemplateUrl">
    <vt:lpwstr/>
  </property>
</Properties>
</file>