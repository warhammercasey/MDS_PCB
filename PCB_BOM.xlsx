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urr\Documents\School\fpga_pcb\MDS_PCB\"/>
    </mc:Choice>
  </mc:AlternateContent>
  <xr:revisionPtr revIDLastSave="0" documentId="13_ncr:9_{52DE209B-19A9-4CB5-86BC-78F3CCB7ACDC}" xr6:coauthVersionLast="47" xr6:coauthVersionMax="47" xr10:uidLastSave="{00000000-0000-0000-0000-000000000000}"/>
  <bookViews>
    <workbookView xWindow="3420" yWindow="3420" windowWidth="28800" windowHeight="15370" xr2:uid="{CBFAA466-273C-4DDE-A417-0171B3E65A6C}"/>
  </bookViews>
  <sheets>
    <sheet name="fpga_pcb" sheetId="1" r:id="rId1"/>
  </sheets>
  <calcPr calcId="0"/>
</workbook>
</file>

<file path=xl/calcChain.xml><?xml version="1.0" encoding="utf-8"?>
<calcChain xmlns="http://schemas.openxmlformats.org/spreadsheetml/2006/main">
  <c r="K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2" i="1"/>
</calcChain>
</file>

<file path=xl/sharedStrings.xml><?xml version="1.0" encoding="utf-8"?>
<sst xmlns="http://schemas.openxmlformats.org/spreadsheetml/2006/main" count="180" uniqueCount="164">
  <si>
    <t>Reference</t>
  </si>
  <si>
    <t>Qty</t>
  </si>
  <si>
    <t>Value</t>
  </si>
  <si>
    <t>DNP</t>
  </si>
  <si>
    <t>Exclude from BOM</t>
  </si>
  <si>
    <t>Exclude from Board</t>
  </si>
  <si>
    <t>Digikey PN</t>
  </si>
  <si>
    <t>Unit Cost</t>
  </si>
  <si>
    <t>Description</t>
  </si>
  <si>
    <t>C1,C2,C3,C5,C6,C7,C9,C10,C12,C13,C15,C16,C17,C18,C19,C20,C21,C22,C23,C24,C32,C39,C40,C41,C42,C43,C44,C45,C46,C47,C57,C58,C59,C60,C61,C62,C63,C64,C65,C66,C67,C68,C69,C71,C72,C74</t>
  </si>
  <si>
    <t>100nF</t>
  </si>
  <si>
    <t>1276-6854-1-ND</t>
  </si>
  <si>
    <t>Unpolarized capacitor</t>
  </si>
  <si>
    <t>C4,C8,C11,C14,C25,C34,C36,C38,C48,C49,C50,C51,C52,C53,C54,C55,C73</t>
  </si>
  <si>
    <t>4.7uF</t>
  </si>
  <si>
    <t>C26,C27,C33,C70</t>
  </si>
  <si>
    <t>1uF</t>
  </si>
  <si>
    <t>1276-1859-1-ND</t>
  </si>
  <si>
    <t>C28,C35,C37</t>
  </si>
  <si>
    <t>10pF</t>
  </si>
  <si>
    <t>1276-2149-1-ND</t>
  </si>
  <si>
    <t>C29,C30</t>
  </si>
  <si>
    <t>22uF</t>
  </si>
  <si>
    <t>1276-2728-1-ND</t>
  </si>
  <si>
    <t>C31,C56</t>
  </si>
  <si>
    <t>P814-ND</t>
  </si>
  <si>
    <t>capacitor, US symbol</t>
  </si>
  <si>
    <t>D1</t>
  </si>
  <si>
    <t>RED</t>
  </si>
  <si>
    <t>754-1123-1-ND</t>
  </si>
  <si>
    <t>Light emitting diode</t>
  </si>
  <si>
    <t>D2</t>
  </si>
  <si>
    <t>GREEN</t>
  </si>
  <si>
    <t>754-1121-1-ND</t>
  </si>
  <si>
    <t>D3</t>
  </si>
  <si>
    <t>LED_KRGB</t>
  </si>
  <si>
    <t>160-2162-1-ND</t>
  </si>
  <si>
    <t>RGB LED, cathode/red/green/blue</t>
  </si>
  <si>
    <t>D4,D5,D6</t>
  </si>
  <si>
    <t>YELLOW</t>
  </si>
  <si>
    <t>754-1124-1-ND</t>
  </si>
  <si>
    <t>D7</t>
  </si>
  <si>
    <t>D</t>
  </si>
  <si>
    <t>5399-SS32CT-ND</t>
  </si>
  <si>
    <t>Diode</t>
  </si>
  <si>
    <t>D8</t>
  </si>
  <si>
    <t>D_TVS</t>
  </si>
  <si>
    <t>5399-SMAJ6.0ACT-ND</t>
  </si>
  <si>
    <t>Bidirectional transient-voltage-suppression diode</t>
  </si>
  <si>
    <t>F1,F2</t>
  </si>
  <si>
    <t>Fuse</t>
  </si>
  <si>
    <t>5923-0686F7000-01CT-ND</t>
  </si>
  <si>
    <t>FB1,FB2,FB3</t>
  </si>
  <si>
    <t>600Î©@100MHz</t>
  </si>
  <si>
    <t>490-1014-1-ND</t>
  </si>
  <si>
    <t>Ferrite bead</t>
  </si>
  <si>
    <t>J1</t>
  </si>
  <si>
    <t>USB_C_Receptacle_USB2.0_16P</t>
  </si>
  <si>
    <t>2073-USB4105-GF-ACT-ND</t>
  </si>
  <si>
    <t>USB 2.0-only 16P Type-C Receptacle connector</t>
  </si>
  <si>
    <t>J2,J3,J4,J5,J6,J7,J8,J9</t>
  </si>
  <si>
    <t>Conn_01x06</t>
  </si>
  <si>
    <t>455-BM06B-GHS-TBTCT-ND</t>
  </si>
  <si>
    <t>Generic connector, single row, 01x06, script generated (kicad-library-utils/schlib/autogen/connector/)</t>
  </si>
  <si>
    <t>J10,J11</t>
  </si>
  <si>
    <t>Conn_02x08_Odd_Even</t>
  </si>
  <si>
    <t>4627-PH254V-216-6TBKG126-ND</t>
  </si>
  <si>
    <t>Generic connector, double row, 02x08, odd/even pin numbering scheme (row 1 odd numbers, row 2 even numbers), script generated (kicad-library-utils/schlib/autogen/connector/)</t>
  </si>
  <si>
    <t>J12</t>
  </si>
  <si>
    <t>5VIN</t>
  </si>
  <si>
    <t>455-B2B-XH-A-ND</t>
  </si>
  <si>
    <t>Generic connector, single row, 01x02, script generated (kicad-library-utils/schlib/autogen/connector/)</t>
  </si>
  <si>
    <t>J13</t>
  </si>
  <si>
    <t>Conn_01x10</t>
  </si>
  <si>
    <t>2057-PH1-10-UA-ND</t>
  </si>
  <si>
    <t>Generic connector, single row, 01x10, script generated (kicad-library-utils/schlib/autogen/connector/)</t>
  </si>
  <si>
    <t>J14</t>
  </si>
  <si>
    <t>RJ45_Halo_HFJ11-x2450E-LxxRL</t>
  </si>
  <si>
    <t>5843-HFJ11-2450E-L12RL-ND</t>
  </si>
  <si>
    <t>Halo HFJ11, 10/100 Base-TX, two LEDs, RJ45, Shielded</t>
  </si>
  <si>
    <t>L1</t>
  </si>
  <si>
    <t>1uH</t>
  </si>
  <si>
    <t>3526-WIP322512A-1R0MLDGCT-ND</t>
  </si>
  <si>
    <t>Inductor</t>
  </si>
  <si>
    <t>R1,R2,R3,R4,R5,R6,R7,R8,R9,R10,R11,R12,R13,R18,R19,R20,R22,R24,R27,R35,R36,R41,R42,R44,R48,R52,R54,R56,R58,R59,R61,R63,R65,R77,R79,R81,R82,R83</t>
  </si>
  <si>
    <t>10k</t>
  </si>
  <si>
    <t>311-10KLDCT-ND</t>
  </si>
  <si>
    <t>Resistor, US symbol</t>
  </si>
  <si>
    <t>R14,R15,R16,R17,R21,R28,R29,R30,R31,R32,R33,R34,R37,R38,R43,R47,R90</t>
  </si>
  <si>
    <t>1k</t>
  </si>
  <si>
    <t>311-1.00KHRCT-ND</t>
  </si>
  <si>
    <t>R25,R85,R89</t>
  </si>
  <si>
    <t>12k</t>
  </si>
  <si>
    <t>311-12.0KHRCT-ND</t>
  </si>
  <si>
    <t>R39</t>
  </si>
  <si>
    <t>102k</t>
  </si>
  <si>
    <t>YAG1498CT-ND</t>
  </si>
  <si>
    <t>R40</t>
  </si>
  <si>
    <t>34k</t>
  </si>
  <si>
    <t>311-34.0KHRCT-ND</t>
  </si>
  <si>
    <t>R45,R46</t>
  </si>
  <si>
    <t>5.1k</t>
  </si>
  <si>
    <t>311-5.1KGRCT-ND</t>
  </si>
  <si>
    <t>R49,R50</t>
  </si>
  <si>
    <t>311-10LDCT-ND</t>
  </si>
  <si>
    <t>R67,R68,R69,R70,R71,R72,R73,R74,R75,R76,R78,R80</t>
  </si>
  <si>
    <t>311-127HRCT-ND</t>
  </si>
  <si>
    <t>R84,R86,R87,R88</t>
  </si>
  <si>
    <t>311-49.9HRCT-ND</t>
  </si>
  <si>
    <t>SW1,SW2</t>
  </si>
  <si>
    <t>SW_Push</t>
  </si>
  <si>
    <t>CKN10244CT-ND</t>
  </si>
  <si>
    <t>Push button switch, generic, two pins</t>
  </si>
  <si>
    <t>U1</t>
  </si>
  <si>
    <t>2134-T20Q100F3C3-ND</t>
  </si>
  <si>
    <t>U2</t>
  </si>
  <si>
    <t>23AA02M-IST</t>
  </si>
  <si>
    <t>150-23AA02M-I/ST-ND</t>
  </si>
  <si>
    <t>Microchip 2 Mbit SRAM Memory, up to 143MHz, 1.7-3.6V supply, TSSOP-8</t>
  </si>
  <si>
    <t>U3</t>
  </si>
  <si>
    <t>TPS62A02APDDC</t>
  </si>
  <si>
    <t>296-TPS62A02APDDCRCT-ND</t>
  </si>
  <si>
    <t>High Efficiency Synchronous Buck Converter with forced PWM, Adjustable Output 0.6V-5.5V, 2A, Power Good, Enable, SOT-23-6</t>
  </si>
  <si>
    <t>U4</t>
  </si>
  <si>
    <t>TLV75733PDBV</t>
  </si>
  <si>
    <t>296-TLV75733PDYDRCT-ND</t>
  </si>
  <si>
    <t>1A Low IQ Small Size Low Dropout Voltage Regulator, Fixed Output 3.3V, SOT-23-5</t>
  </si>
  <si>
    <t>U5</t>
  </si>
  <si>
    <t>TPS2116DRL</t>
  </si>
  <si>
    <t>296-TPS2116DRLRCT-ND</t>
  </si>
  <si>
    <t>2 Channnels Power Mux with Manual and Priority Switchover, 1.6-5.5V Input Voltage, 2.5A Output Current, Ron 40 mOhm, SOT-583-8</t>
  </si>
  <si>
    <t>U6</t>
  </si>
  <si>
    <t>93AAxxBT-xOT</t>
  </si>
  <si>
    <t>93AA56BT-I/OTCT-ND</t>
  </si>
  <si>
    <t>Serial EEPROM, 93 Series, 16-bit word, 1.8V, SOT-23</t>
  </si>
  <si>
    <t>U7</t>
  </si>
  <si>
    <t>USBLC6-2SC6</t>
  </si>
  <si>
    <t>497-5235-1-ND</t>
  </si>
  <si>
    <t>Very low capacitance ESD protection diode, 2 data-line, SOT-23-6</t>
  </si>
  <si>
    <t>U8</t>
  </si>
  <si>
    <t>FT4232H</t>
  </si>
  <si>
    <t>Hi Speed Quad Channel USB UART/FIFO, LQFP/QFN-64</t>
  </si>
  <si>
    <t>U9</t>
  </si>
  <si>
    <t>ADC1283</t>
  </si>
  <si>
    <t>ADC088S022CIMTX/NOPBCT-ND</t>
  </si>
  <si>
    <t>Low power 8-channel single ended 12-bit SAR ADC, 50 ksps to 200 ksps, SPI, TSSOP-16</t>
  </si>
  <si>
    <t>U10</t>
  </si>
  <si>
    <t>LAN8720A</t>
  </si>
  <si>
    <t>LAN8720A-CP-CT-ND</t>
  </si>
  <si>
    <t>LAN8720 Ethernet PHY with RMII interface, QFN-24</t>
  </si>
  <si>
    <t>U11</t>
  </si>
  <si>
    <t>SN74LV244AQDGSRQ1</t>
  </si>
  <si>
    <t>296-SN74LV244AQDGSRQ1CT-ND</t>
  </si>
  <si>
    <t>Y1</t>
  </si>
  <si>
    <t>ECS-2520MV-500-xx</t>
  </si>
  <si>
    <t>XC2758CT-ND</t>
  </si>
  <si>
    <t>HCMOS Crystal Clock Oscillator, 2.5x2.0 mm SMD</t>
  </si>
  <si>
    <t>Y2</t>
  </si>
  <si>
    <t>Crystal_GND24</t>
  </si>
  <si>
    <t>2151-RH100-12.000-10-3030-TRCT-ND</t>
  </si>
  <si>
    <t>Four pin crystal, GND on pins 2 and 4</t>
  </si>
  <si>
    <t>Total Cost</t>
  </si>
  <si>
    <t>Board cost:</t>
  </si>
  <si>
    <t>1276-1045-1-ND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</si>
</sst>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20C73-6DC2-40C2-AA0F-9EB43A97996B}">
  <dimension ref="A1:K45"/>
  <sheetViews>
    <sheetView tabSelected="1" workbookViewId="0">
      <selection activeCell="G3" sqref="G3"/>
    </sheetView>
  </sheetViews>
  <sheetFormatPr defaultRowHeight="14.5" x14ac:dyDescent="0.35"/>
  <cols>
    <col min="5" max="5" width="10.7265625" customWidth="1"/>
    <col min="7" max="7" width="24.3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161</v>
      </c>
      <c r="K1" t="s">
        <v>162</v>
      </c>
    </row>
    <row r="2" spans="1:11" x14ac:dyDescent="0.35">
      <c r="A2" t="s">
        <v>9</v>
      </c>
      <c r="B2">
        <v>46</v>
      </c>
      <c r="C2" t="s">
        <v>10</v>
      </c>
      <c r="G2" t="s">
        <v>11</v>
      </c>
      <c r="H2">
        <v>5.5E-2</v>
      </c>
      <c r="I2" t="s">
        <v>12</v>
      </c>
      <c r="J2">
        <f>H2*B2</f>
        <v>2.5299999999999998</v>
      </c>
      <c r="K2">
        <f>SUM(J:J)</f>
        <v>56.957000000000001</v>
      </c>
    </row>
    <row r="3" spans="1:11" x14ac:dyDescent="0.35">
      <c r="A3" t="s">
        <v>13</v>
      </c>
      <c r="B3">
        <v>17</v>
      </c>
      <c r="C3" t="s">
        <v>14</v>
      </c>
      <c r="G3" t="s">
        <v>163</v>
      </c>
      <c r="H3">
        <v>4.3999999999999997E-2</v>
      </c>
      <c r="I3" t="s">
        <v>12</v>
      </c>
      <c r="J3">
        <f t="shared" ref="J3:J45" si="0">H3*B3</f>
        <v>0.748</v>
      </c>
    </row>
    <row r="4" spans="1:11" x14ac:dyDescent="0.35">
      <c r="A4" t="s">
        <v>15</v>
      </c>
      <c r="B4">
        <v>4</v>
      </c>
      <c r="C4" t="s">
        <v>16</v>
      </c>
      <c r="G4" t="s">
        <v>17</v>
      </c>
      <c r="H4">
        <v>0.1</v>
      </c>
      <c r="I4" t="s">
        <v>12</v>
      </c>
      <c r="J4">
        <f t="shared" si="0"/>
        <v>0.4</v>
      </c>
    </row>
    <row r="5" spans="1:11" x14ac:dyDescent="0.35">
      <c r="A5" t="s">
        <v>18</v>
      </c>
      <c r="B5">
        <v>3</v>
      </c>
      <c r="C5" t="s">
        <v>19</v>
      </c>
      <c r="G5" t="s">
        <v>20</v>
      </c>
      <c r="H5">
        <v>0.1</v>
      </c>
      <c r="I5" t="s">
        <v>12</v>
      </c>
      <c r="J5">
        <f t="shared" si="0"/>
        <v>0.30000000000000004</v>
      </c>
    </row>
    <row r="6" spans="1:11" x14ac:dyDescent="0.35">
      <c r="A6" t="s">
        <v>21</v>
      </c>
      <c r="B6">
        <v>2</v>
      </c>
      <c r="C6" t="s">
        <v>22</v>
      </c>
      <c r="G6" t="s">
        <v>23</v>
      </c>
      <c r="H6">
        <v>0.28999999999999998</v>
      </c>
      <c r="I6" t="s">
        <v>12</v>
      </c>
      <c r="J6">
        <f t="shared" si="0"/>
        <v>0.57999999999999996</v>
      </c>
    </row>
    <row r="7" spans="1:11" x14ac:dyDescent="0.35">
      <c r="A7" t="s">
        <v>24</v>
      </c>
      <c r="B7">
        <v>2</v>
      </c>
      <c r="C7" t="s">
        <v>22</v>
      </c>
      <c r="G7" t="s">
        <v>25</v>
      </c>
      <c r="H7">
        <v>0.27</v>
      </c>
      <c r="I7" t="s">
        <v>26</v>
      </c>
      <c r="J7">
        <f t="shared" si="0"/>
        <v>0.54</v>
      </c>
    </row>
    <row r="8" spans="1:11" x14ac:dyDescent="0.35">
      <c r="A8" t="s">
        <v>27</v>
      </c>
      <c r="B8">
        <v>1</v>
      </c>
      <c r="C8" t="s">
        <v>28</v>
      </c>
      <c r="G8" t="s">
        <v>29</v>
      </c>
      <c r="H8">
        <v>0.21</v>
      </c>
      <c r="I8" t="s">
        <v>30</v>
      </c>
      <c r="J8">
        <f t="shared" si="0"/>
        <v>0.21</v>
      </c>
    </row>
    <row r="9" spans="1:11" x14ac:dyDescent="0.35">
      <c r="A9" t="s">
        <v>31</v>
      </c>
      <c r="B9">
        <v>1</v>
      </c>
      <c r="C9" t="s">
        <v>32</v>
      </c>
      <c r="G9" t="s">
        <v>33</v>
      </c>
      <c r="H9">
        <v>0.19</v>
      </c>
      <c r="I9" t="s">
        <v>30</v>
      </c>
      <c r="J9">
        <f t="shared" si="0"/>
        <v>0.19</v>
      </c>
    </row>
    <row r="10" spans="1:11" x14ac:dyDescent="0.35">
      <c r="A10" t="s">
        <v>34</v>
      </c>
      <c r="B10">
        <v>1</v>
      </c>
      <c r="C10" t="s">
        <v>35</v>
      </c>
      <c r="G10" t="s">
        <v>36</v>
      </c>
      <c r="H10">
        <v>0.44</v>
      </c>
      <c r="I10" t="s">
        <v>37</v>
      </c>
      <c r="J10">
        <f t="shared" si="0"/>
        <v>0.44</v>
      </c>
    </row>
    <row r="11" spans="1:11" x14ac:dyDescent="0.35">
      <c r="A11" t="s">
        <v>38</v>
      </c>
      <c r="B11">
        <v>3</v>
      </c>
      <c r="C11" t="s">
        <v>39</v>
      </c>
      <c r="G11" t="s">
        <v>40</v>
      </c>
      <c r="H11">
        <v>0.21</v>
      </c>
      <c r="I11" t="s">
        <v>30</v>
      </c>
      <c r="J11">
        <f t="shared" si="0"/>
        <v>0.63</v>
      </c>
    </row>
    <row r="12" spans="1:11" x14ac:dyDescent="0.35">
      <c r="A12" t="s">
        <v>41</v>
      </c>
      <c r="B12">
        <v>1</v>
      </c>
      <c r="C12" t="s">
        <v>42</v>
      </c>
      <c r="G12" t="s">
        <v>43</v>
      </c>
      <c r="H12">
        <v>0.1</v>
      </c>
      <c r="I12" t="s">
        <v>44</v>
      </c>
      <c r="J12">
        <f t="shared" si="0"/>
        <v>0.1</v>
      </c>
    </row>
    <row r="13" spans="1:11" x14ac:dyDescent="0.35">
      <c r="A13" t="s">
        <v>45</v>
      </c>
      <c r="B13">
        <v>1</v>
      </c>
      <c r="C13" t="s">
        <v>46</v>
      </c>
      <c r="G13" t="s">
        <v>47</v>
      </c>
      <c r="H13">
        <v>0.17</v>
      </c>
      <c r="I13" t="s">
        <v>48</v>
      </c>
      <c r="J13">
        <f t="shared" si="0"/>
        <v>0.17</v>
      </c>
    </row>
    <row r="14" spans="1:11" x14ac:dyDescent="0.35">
      <c r="A14" t="s">
        <v>49</v>
      </c>
      <c r="B14">
        <v>2</v>
      </c>
      <c r="C14" t="s">
        <v>50</v>
      </c>
      <c r="G14" t="s">
        <v>51</v>
      </c>
      <c r="H14">
        <v>0.45</v>
      </c>
      <c r="I14" t="s">
        <v>50</v>
      </c>
      <c r="J14">
        <f t="shared" si="0"/>
        <v>0.9</v>
      </c>
    </row>
    <row r="15" spans="1:11" x14ac:dyDescent="0.35">
      <c r="A15" t="s">
        <v>52</v>
      </c>
      <c r="B15">
        <v>3</v>
      </c>
      <c r="C15" t="s">
        <v>53</v>
      </c>
      <c r="G15" t="s">
        <v>54</v>
      </c>
      <c r="H15">
        <v>0.1</v>
      </c>
      <c r="I15" t="s">
        <v>55</v>
      </c>
      <c r="J15">
        <f t="shared" si="0"/>
        <v>0.30000000000000004</v>
      </c>
    </row>
    <row r="16" spans="1:11" x14ac:dyDescent="0.35">
      <c r="A16" t="s">
        <v>56</v>
      </c>
      <c r="B16">
        <v>1</v>
      </c>
      <c r="C16" t="s">
        <v>57</v>
      </c>
      <c r="G16" t="s">
        <v>58</v>
      </c>
      <c r="H16">
        <v>0.8</v>
      </c>
      <c r="I16" t="s">
        <v>59</v>
      </c>
      <c r="J16">
        <f t="shared" si="0"/>
        <v>0.8</v>
      </c>
    </row>
    <row r="17" spans="1:10" x14ac:dyDescent="0.35">
      <c r="A17" t="s">
        <v>60</v>
      </c>
      <c r="B17">
        <v>8</v>
      </c>
      <c r="C17" t="s">
        <v>61</v>
      </c>
      <c r="G17" t="s">
        <v>62</v>
      </c>
      <c r="H17">
        <v>0.47</v>
      </c>
      <c r="I17" t="s">
        <v>63</v>
      </c>
      <c r="J17">
        <f t="shared" si="0"/>
        <v>3.76</v>
      </c>
    </row>
    <row r="18" spans="1:10" x14ac:dyDescent="0.35">
      <c r="A18" t="s">
        <v>64</v>
      </c>
      <c r="B18">
        <v>2</v>
      </c>
      <c r="C18" t="s">
        <v>65</v>
      </c>
      <c r="G18" t="s">
        <v>66</v>
      </c>
      <c r="H18">
        <v>0.34</v>
      </c>
      <c r="I18" t="s">
        <v>67</v>
      </c>
      <c r="J18">
        <f t="shared" si="0"/>
        <v>0.68</v>
      </c>
    </row>
    <row r="19" spans="1:10" x14ac:dyDescent="0.35">
      <c r="A19" t="s">
        <v>68</v>
      </c>
      <c r="B19">
        <v>1</v>
      </c>
      <c r="C19" t="s">
        <v>69</v>
      </c>
      <c r="G19" t="s">
        <v>70</v>
      </c>
      <c r="H19">
        <v>0.1</v>
      </c>
      <c r="I19" t="s">
        <v>71</v>
      </c>
      <c r="J19">
        <f t="shared" si="0"/>
        <v>0.1</v>
      </c>
    </row>
    <row r="20" spans="1:10" x14ac:dyDescent="0.35">
      <c r="A20" t="s">
        <v>72</v>
      </c>
      <c r="B20">
        <v>1</v>
      </c>
      <c r="C20" t="s">
        <v>73</v>
      </c>
      <c r="G20" t="s">
        <v>74</v>
      </c>
      <c r="H20">
        <v>0.14000000000000001</v>
      </c>
      <c r="I20" t="s">
        <v>75</v>
      </c>
      <c r="J20">
        <f t="shared" si="0"/>
        <v>0.14000000000000001</v>
      </c>
    </row>
    <row r="21" spans="1:10" x14ac:dyDescent="0.35">
      <c r="A21" t="s">
        <v>76</v>
      </c>
      <c r="B21">
        <v>1</v>
      </c>
      <c r="C21" t="s">
        <v>77</v>
      </c>
      <c r="G21" t="s">
        <v>78</v>
      </c>
      <c r="H21">
        <v>5.29</v>
      </c>
      <c r="I21" t="s">
        <v>79</v>
      </c>
      <c r="J21">
        <f t="shared" si="0"/>
        <v>5.29</v>
      </c>
    </row>
    <row r="22" spans="1:10" x14ac:dyDescent="0.35">
      <c r="A22" t="s">
        <v>80</v>
      </c>
      <c r="B22">
        <v>1</v>
      </c>
      <c r="C22" t="s">
        <v>81</v>
      </c>
      <c r="G22" t="s">
        <v>82</v>
      </c>
      <c r="H22">
        <v>0.11</v>
      </c>
      <c r="I22" t="s">
        <v>83</v>
      </c>
      <c r="J22">
        <f t="shared" si="0"/>
        <v>0.11</v>
      </c>
    </row>
    <row r="23" spans="1:10" x14ac:dyDescent="0.35">
      <c r="A23" t="s">
        <v>84</v>
      </c>
      <c r="B23">
        <v>38</v>
      </c>
      <c r="C23" t="s">
        <v>85</v>
      </c>
      <c r="G23" t="s">
        <v>86</v>
      </c>
      <c r="H23">
        <v>2.8000000000000001E-2</v>
      </c>
      <c r="I23" t="s">
        <v>87</v>
      </c>
      <c r="J23">
        <f t="shared" si="0"/>
        <v>1.0640000000000001</v>
      </c>
    </row>
    <row r="24" spans="1:10" x14ac:dyDescent="0.35">
      <c r="A24" t="s">
        <v>88</v>
      </c>
      <c r="B24">
        <v>17</v>
      </c>
      <c r="C24" t="s">
        <v>89</v>
      </c>
      <c r="G24" t="s">
        <v>90</v>
      </c>
      <c r="H24">
        <v>2.5000000000000001E-2</v>
      </c>
      <c r="I24" t="s">
        <v>87</v>
      </c>
      <c r="J24">
        <f t="shared" si="0"/>
        <v>0.42500000000000004</v>
      </c>
    </row>
    <row r="25" spans="1:10" x14ac:dyDescent="0.35">
      <c r="A25" t="s">
        <v>91</v>
      </c>
      <c r="B25">
        <v>3</v>
      </c>
      <c r="C25" t="s">
        <v>92</v>
      </c>
      <c r="G25" t="s">
        <v>93</v>
      </c>
      <c r="H25">
        <v>0.1</v>
      </c>
      <c r="I25" t="s">
        <v>87</v>
      </c>
      <c r="J25">
        <f t="shared" si="0"/>
        <v>0.30000000000000004</v>
      </c>
    </row>
    <row r="26" spans="1:10" x14ac:dyDescent="0.35">
      <c r="A26" t="s">
        <v>94</v>
      </c>
      <c r="B26">
        <v>1</v>
      </c>
      <c r="C26" t="s">
        <v>95</v>
      </c>
      <c r="G26" t="s">
        <v>96</v>
      </c>
      <c r="H26">
        <v>0.11</v>
      </c>
      <c r="I26" t="s">
        <v>87</v>
      </c>
      <c r="J26">
        <f t="shared" si="0"/>
        <v>0.11</v>
      </c>
    </row>
    <row r="27" spans="1:10" x14ac:dyDescent="0.35">
      <c r="A27" t="s">
        <v>97</v>
      </c>
      <c r="B27">
        <v>1</v>
      </c>
      <c r="C27" t="s">
        <v>98</v>
      </c>
      <c r="G27" t="s">
        <v>99</v>
      </c>
      <c r="H27">
        <v>0.11</v>
      </c>
      <c r="I27" t="s">
        <v>87</v>
      </c>
      <c r="J27">
        <f t="shared" si="0"/>
        <v>0.11</v>
      </c>
    </row>
    <row r="28" spans="1:10" x14ac:dyDescent="0.35">
      <c r="A28" t="s">
        <v>100</v>
      </c>
      <c r="B28">
        <v>2</v>
      </c>
      <c r="C28" t="s">
        <v>101</v>
      </c>
      <c r="G28" t="s">
        <v>102</v>
      </c>
      <c r="H28">
        <v>0.11</v>
      </c>
      <c r="I28" t="s">
        <v>87</v>
      </c>
      <c r="J28">
        <f t="shared" si="0"/>
        <v>0.22</v>
      </c>
    </row>
    <row r="29" spans="1:10" x14ac:dyDescent="0.35">
      <c r="A29" t="s">
        <v>103</v>
      </c>
      <c r="B29">
        <v>2</v>
      </c>
      <c r="C29">
        <v>10</v>
      </c>
      <c r="G29" t="s">
        <v>104</v>
      </c>
      <c r="H29">
        <v>0.1</v>
      </c>
      <c r="I29" t="s">
        <v>87</v>
      </c>
      <c r="J29">
        <f t="shared" si="0"/>
        <v>0.2</v>
      </c>
    </row>
    <row r="30" spans="1:10" x14ac:dyDescent="0.35">
      <c r="A30" t="s">
        <v>105</v>
      </c>
      <c r="B30">
        <v>12</v>
      </c>
      <c r="C30">
        <v>127</v>
      </c>
      <c r="G30" t="s">
        <v>106</v>
      </c>
      <c r="H30">
        <v>0.1</v>
      </c>
      <c r="I30" t="s">
        <v>87</v>
      </c>
      <c r="J30">
        <f t="shared" si="0"/>
        <v>1.2000000000000002</v>
      </c>
    </row>
    <row r="31" spans="1:10" x14ac:dyDescent="0.35">
      <c r="A31" t="s">
        <v>107</v>
      </c>
      <c r="B31">
        <v>4</v>
      </c>
      <c r="C31">
        <v>49.9</v>
      </c>
      <c r="G31" t="s">
        <v>108</v>
      </c>
      <c r="H31">
        <v>0.11</v>
      </c>
      <c r="I31" t="s">
        <v>87</v>
      </c>
      <c r="J31">
        <f t="shared" si="0"/>
        <v>0.44</v>
      </c>
    </row>
    <row r="32" spans="1:10" x14ac:dyDescent="0.35">
      <c r="A32" t="s">
        <v>109</v>
      </c>
      <c r="B32">
        <v>2</v>
      </c>
      <c r="C32" t="s">
        <v>110</v>
      </c>
      <c r="G32" t="s">
        <v>111</v>
      </c>
      <c r="H32">
        <v>0.67</v>
      </c>
      <c r="I32" t="s">
        <v>112</v>
      </c>
      <c r="J32">
        <f t="shared" si="0"/>
        <v>1.34</v>
      </c>
    </row>
    <row r="33" spans="1:10" x14ac:dyDescent="0.35">
      <c r="A33" t="s">
        <v>113</v>
      </c>
      <c r="B33">
        <v>1</v>
      </c>
      <c r="G33" t="s">
        <v>114</v>
      </c>
      <c r="H33">
        <v>10.3</v>
      </c>
      <c r="J33">
        <f t="shared" si="0"/>
        <v>10.3</v>
      </c>
    </row>
    <row r="34" spans="1:10" x14ac:dyDescent="0.35">
      <c r="A34" t="s">
        <v>115</v>
      </c>
      <c r="B34">
        <v>1</v>
      </c>
      <c r="C34" t="s">
        <v>116</v>
      </c>
      <c r="G34" t="s">
        <v>117</v>
      </c>
      <c r="H34">
        <v>3.18</v>
      </c>
      <c r="I34" t="s">
        <v>118</v>
      </c>
      <c r="J34">
        <f t="shared" si="0"/>
        <v>3.18</v>
      </c>
    </row>
    <row r="35" spans="1:10" x14ac:dyDescent="0.35">
      <c r="A35" t="s">
        <v>119</v>
      </c>
      <c r="B35">
        <v>1</v>
      </c>
      <c r="C35" t="s">
        <v>120</v>
      </c>
      <c r="G35" t="s">
        <v>121</v>
      </c>
      <c r="H35">
        <v>0.24</v>
      </c>
      <c r="I35" t="s">
        <v>122</v>
      </c>
      <c r="J35">
        <f t="shared" si="0"/>
        <v>0.24</v>
      </c>
    </row>
    <row r="36" spans="1:10" x14ac:dyDescent="0.35">
      <c r="A36" t="s">
        <v>123</v>
      </c>
      <c r="B36">
        <v>1</v>
      </c>
      <c r="C36" t="s">
        <v>124</v>
      </c>
      <c r="G36" t="s">
        <v>125</v>
      </c>
      <c r="H36">
        <v>0.37</v>
      </c>
      <c r="I36" t="s">
        <v>126</v>
      </c>
      <c r="J36">
        <f t="shared" si="0"/>
        <v>0.37</v>
      </c>
    </row>
    <row r="37" spans="1:10" x14ac:dyDescent="0.35">
      <c r="A37" t="s">
        <v>127</v>
      </c>
      <c r="B37">
        <v>1</v>
      </c>
      <c r="C37" t="s">
        <v>128</v>
      </c>
      <c r="G37" t="s">
        <v>129</v>
      </c>
      <c r="H37">
        <v>1.07</v>
      </c>
      <c r="I37" t="s">
        <v>130</v>
      </c>
      <c r="J37">
        <f t="shared" si="0"/>
        <v>1.07</v>
      </c>
    </row>
    <row r="38" spans="1:10" x14ac:dyDescent="0.35">
      <c r="A38" t="s">
        <v>131</v>
      </c>
      <c r="B38">
        <v>1</v>
      </c>
      <c r="C38" t="s">
        <v>132</v>
      </c>
      <c r="G38" t="s">
        <v>133</v>
      </c>
      <c r="H38">
        <v>0.32</v>
      </c>
      <c r="I38" t="s">
        <v>134</v>
      </c>
      <c r="J38">
        <f t="shared" si="0"/>
        <v>0.32</v>
      </c>
    </row>
    <row r="39" spans="1:10" x14ac:dyDescent="0.35">
      <c r="A39" t="s">
        <v>135</v>
      </c>
      <c r="B39">
        <v>1</v>
      </c>
      <c r="C39" t="s">
        <v>136</v>
      </c>
      <c r="G39" t="s">
        <v>137</v>
      </c>
      <c r="H39">
        <v>0.54</v>
      </c>
      <c r="I39" t="s">
        <v>138</v>
      </c>
      <c r="J39">
        <f t="shared" si="0"/>
        <v>0.54</v>
      </c>
    </row>
    <row r="40" spans="1:10" x14ac:dyDescent="0.35">
      <c r="A40" t="s">
        <v>139</v>
      </c>
      <c r="B40">
        <v>1</v>
      </c>
      <c r="C40" t="s">
        <v>140</v>
      </c>
      <c r="H40">
        <v>10</v>
      </c>
      <c r="I40" t="s">
        <v>141</v>
      </c>
      <c r="J40">
        <f t="shared" si="0"/>
        <v>10</v>
      </c>
    </row>
    <row r="41" spans="1:10" x14ac:dyDescent="0.35">
      <c r="A41" t="s">
        <v>142</v>
      </c>
      <c r="B41">
        <v>1</v>
      </c>
      <c r="C41" t="s">
        <v>143</v>
      </c>
      <c r="G41" t="s">
        <v>144</v>
      </c>
      <c r="H41">
        <v>3.52</v>
      </c>
      <c r="I41" t="s">
        <v>145</v>
      </c>
      <c r="J41">
        <f t="shared" si="0"/>
        <v>3.52</v>
      </c>
    </row>
    <row r="42" spans="1:10" x14ac:dyDescent="0.35">
      <c r="A42" t="s">
        <v>146</v>
      </c>
      <c r="B42">
        <v>1</v>
      </c>
      <c r="C42" t="s">
        <v>147</v>
      </c>
      <c r="G42" t="s">
        <v>148</v>
      </c>
      <c r="H42">
        <v>1.03</v>
      </c>
      <c r="I42" t="s">
        <v>149</v>
      </c>
      <c r="J42">
        <f t="shared" si="0"/>
        <v>1.03</v>
      </c>
    </row>
    <row r="43" spans="1:10" x14ac:dyDescent="0.35">
      <c r="A43" t="s">
        <v>150</v>
      </c>
      <c r="B43">
        <v>1</v>
      </c>
      <c r="C43" t="s">
        <v>151</v>
      </c>
      <c r="G43" t="s">
        <v>152</v>
      </c>
      <c r="H43">
        <v>0.68</v>
      </c>
      <c r="J43">
        <f t="shared" si="0"/>
        <v>0.68</v>
      </c>
    </row>
    <row r="44" spans="1:10" x14ac:dyDescent="0.35">
      <c r="A44" t="s">
        <v>153</v>
      </c>
      <c r="B44">
        <v>1</v>
      </c>
      <c r="C44" t="s">
        <v>154</v>
      </c>
      <c r="G44" t="s">
        <v>155</v>
      </c>
      <c r="H44">
        <v>1.2</v>
      </c>
      <c r="I44" t="s">
        <v>156</v>
      </c>
      <c r="J44">
        <f t="shared" si="0"/>
        <v>1.2</v>
      </c>
    </row>
    <row r="45" spans="1:10" x14ac:dyDescent="0.35">
      <c r="A45" t="s">
        <v>157</v>
      </c>
      <c r="B45">
        <v>1</v>
      </c>
      <c r="C45" t="s">
        <v>158</v>
      </c>
      <c r="G45" t="s">
        <v>159</v>
      </c>
      <c r="H45">
        <v>0.18</v>
      </c>
      <c r="I45" t="s">
        <v>160</v>
      </c>
      <c r="J45">
        <f t="shared" si="0"/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fpga_pcb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murray</dc:creator>
  <cp:lastModifiedBy>matthew murray</cp:lastModifiedBy>
  <dcterms:created xsi:type="dcterms:W3CDTF">2026-09-30T23:27:39Z</dcterms:created>
  <dcterms:modified xsi:type="dcterms:W3CDTF">2026-09-30T23:32:34Z</dcterms:modified>
</cp:coreProperties>
</file>